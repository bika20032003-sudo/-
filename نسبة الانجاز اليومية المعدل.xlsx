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bdusalam\متابعات يومية\التقارير اليومية والاسبوعية\نسبة الانجاز اليومي\"/>
    </mc:Choice>
  </mc:AlternateContent>
  <xr:revisionPtr revIDLastSave="0" documentId="13_ncr:1_{6F40A6B2-BA69-477B-B6BD-952774F9CD6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الاعمال المنجزة المعدل" sheetId="34" r:id="rId1"/>
    <sheet name="القطاعات" sheetId="1" r:id="rId2"/>
    <sheet name="الاعمال المنجزة 23 06 2026" sheetId="42" r:id="rId3"/>
  </sheets>
  <definedNames>
    <definedName name="_xlnm.Print_Area" localSheetId="2">'الاعمال المنجزة 23 06 2026'!$A$1:$AV$37</definedName>
    <definedName name="_xlnm.Print_Area" localSheetId="0">'الاعمال المنجزة المعدل'!$A$1:$AU$40</definedName>
    <definedName name="_xlnm.Print_Area" localSheetId="1">القطاعات!$A$1:$RY$83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9" i="34" l="1"/>
  <c r="AL38" i="34"/>
  <c r="AL37" i="34"/>
  <c r="AH38" i="34"/>
  <c r="AH37" i="34"/>
  <c r="L39" i="34"/>
  <c r="L38" i="34"/>
  <c r="L37" i="34"/>
  <c r="H39" i="34"/>
  <c r="P39" i="34" s="1"/>
  <c r="H38" i="34"/>
  <c r="P38" i="34" s="1"/>
  <c r="H37" i="34"/>
  <c r="AL2" i="42"/>
  <c r="AX34" i="42"/>
  <c r="H34" i="42"/>
  <c r="L34" i="42" s="1"/>
  <c r="AX33" i="42"/>
  <c r="H33" i="42"/>
  <c r="L33" i="42" s="1"/>
  <c r="AX32" i="42"/>
  <c r="H32" i="42"/>
  <c r="L32" i="42" s="1"/>
  <c r="AX30" i="42"/>
  <c r="H30" i="42"/>
  <c r="L30" i="42" s="1"/>
  <c r="AO28" i="42" s="1"/>
  <c r="AX29" i="42"/>
  <c r="H29" i="42"/>
  <c r="L29" i="42" s="1"/>
  <c r="AX28" i="42"/>
  <c r="L28" i="42" s="1"/>
  <c r="H28" i="42"/>
  <c r="L23" i="42"/>
  <c r="AP17" i="42" s="1"/>
  <c r="T22" i="42"/>
  <c r="L22" i="42"/>
  <c r="AM17" i="42" s="1"/>
  <c r="T21" i="42"/>
  <c r="L21" i="42"/>
  <c r="T19" i="42"/>
  <c r="L19" i="42"/>
  <c r="AO17" i="42" s="1"/>
  <c r="T18" i="42"/>
  <c r="L18" i="42"/>
  <c r="AN17" i="42"/>
  <c r="T17" i="42"/>
  <c r="L17" i="42"/>
  <c r="AL17" i="42" s="1"/>
  <c r="L12" i="42"/>
  <c r="AP6" i="42" s="1"/>
  <c r="T11" i="42"/>
  <c r="L11" i="42"/>
  <c r="AM6" i="42" s="1"/>
  <c r="T10" i="42"/>
  <c r="L10" i="42"/>
  <c r="T8" i="42"/>
  <c r="L8" i="42"/>
  <c r="T7" i="42"/>
  <c r="L7" i="42"/>
  <c r="AO6" i="42"/>
  <c r="AN6" i="42"/>
  <c r="AL6" i="42"/>
  <c r="T6" i="42"/>
  <c r="L6" i="42"/>
  <c r="BS59" i="1"/>
  <c r="BS58" i="1"/>
  <c r="BS57" i="1"/>
  <c r="BS56" i="1"/>
  <c r="BV64" i="1"/>
  <c r="AR75" i="1"/>
  <c r="AR74" i="1"/>
  <c r="AR73" i="1"/>
  <c r="AR72" i="1"/>
  <c r="AP38" i="34" l="1"/>
  <c r="AP37" i="34"/>
  <c r="P37" i="34"/>
  <c r="P30" i="42"/>
  <c r="AN28" i="42"/>
  <c r="AL28" i="42"/>
  <c r="P33" i="42"/>
  <c r="P28" i="42"/>
  <c r="P32" i="42"/>
  <c r="P34" i="42"/>
  <c r="AP28" i="42"/>
  <c r="H36" i="42"/>
  <c r="AM28" i="42"/>
  <c r="P29" i="42"/>
  <c r="AW75" i="1" l="1"/>
  <c r="BL70" i="1"/>
  <c r="BS61" i="1" l="1"/>
  <c r="BX61" i="1" s="1"/>
  <c r="BR70" i="1" s="1"/>
  <c r="BS60" i="1"/>
  <c r="BX60" i="1" s="1"/>
  <c r="AR78" i="1"/>
  <c r="AR77" i="1"/>
  <c r="AR76" i="1"/>
  <c r="AR67" i="1"/>
  <c r="AR68" i="1"/>
  <c r="AR69" i="1"/>
  <c r="AR70" i="1"/>
  <c r="AR79" i="1"/>
  <c r="AR80" i="1"/>
  <c r="AW80" i="1" s="1"/>
  <c r="AR81" i="1"/>
  <c r="AW81" i="1" s="1"/>
  <c r="CD48" i="1"/>
  <c r="AH2" i="34"/>
  <c r="AL2" i="34" s="1"/>
  <c r="AX34" i="34"/>
  <c r="H34" i="34"/>
  <c r="AX33" i="34"/>
  <c r="H33" i="34"/>
  <c r="AX32" i="34"/>
  <c r="H32" i="34"/>
  <c r="L32" i="34" s="1"/>
  <c r="P32" i="34" s="1"/>
  <c r="AX30" i="34"/>
  <c r="H30" i="34"/>
  <c r="AX29" i="34"/>
  <c r="H29" i="34"/>
  <c r="AX28" i="34"/>
  <c r="H28" i="34"/>
  <c r="L23" i="34"/>
  <c r="AP17" i="34" s="1"/>
  <c r="T22" i="34"/>
  <c r="L22" i="34"/>
  <c r="AM17" i="34" s="1"/>
  <c r="T21" i="34"/>
  <c r="L21" i="34"/>
  <c r="T19" i="34"/>
  <c r="L19" i="34"/>
  <c r="AO17" i="34" s="1"/>
  <c r="T18" i="34"/>
  <c r="L18" i="34"/>
  <c r="AN17" i="34" s="1"/>
  <c r="T17" i="34"/>
  <c r="L17" i="34"/>
  <c r="AL17" i="34" s="1"/>
  <c r="L12" i="34"/>
  <c r="AP6" i="34" s="1"/>
  <c r="T11" i="34"/>
  <c r="L11" i="34"/>
  <c r="AM6" i="34" s="1"/>
  <c r="T10" i="34"/>
  <c r="L10" i="34"/>
  <c r="T8" i="34"/>
  <c r="L8" i="34"/>
  <c r="AO6" i="34" s="1"/>
  <c r="T7" i="34"/>
  <c r="L7" i="34"/>
  <c r="AN6" i="34" s="1"/>
  <c r="T6" i="34"/>
  <c r="L6" i="34"/>
  <c r="AL6" i="34" s="1"/>
  <c r="BS53" i="1"/>
  <c r="AR66" i="1"/>
  <c r="AR65" i="1"/>
  <c r="AR59" i="1"/>
  <c r="AR61" i="1"/>
  <c r="AR60" i="1"/>
  <c r="AR57" i="1"/>
  <c r="AR58" i="1"/>
  <c r="BS51" i="1"/>
  <c r="BS52" i="1"/>
  <c r="BS55" i="1"/>
  <c r="BS54" i="1"/>
  <c r="AW79" i="1" l="1"/>
  <c r="BL73" i="1" s="1"/>
  <c r="BX55" i="1"/>
  <c r="BR72" i="1" s="1"/>
  <c r="BX59" i="1"/>
  <c r="BX70" i="1"/>
  <c r="BL74" i="1"/>
  <c r="BR74" i="1"/>
  <c r="BL72" i="1"/>
  <c r="AW66" i="1"/>
  <c r="AW61" i="1"/>
  <c r="L29" i="34"/>
  <c r="AN28" i="34" s="1"/>
  <c r="L28" i="34"/>
  <c r="AL28" i="34" s="1"/>
  <c r="L34" i="34"/>
  <c r="L33" i="34"/>
  <c r="AM28" i="34" s="1"/>
  <c r="L30" i="34"/>
  <c r="AO28" i="34" s="1"/>
  <c r="AW59" i="1"/>
  <c r="BS50" i="1"/>
  <c r="AR52" i="1"/>
  <c r="AR51" i="1"/>
  <c r="AR50" i="1"/>
  <c r="CY54" i="1"/>
  <c r="CY53" i="1"/>
  <c r="CY52" i="1"/>
  <c r="CY49" i="1"/>
  <c r="CY51" i="1"/>
  <c r="CY50" i="1"/>
  <c r="P34" i="34" l="1"/>
  <c r="AP28" i="34"/>
  <c r="BX73" i="1"/>
  <c r="BX74" i="1"/>
  <c r="BR73" i="1"/>
  <c r="BL71" i="1"/>
  <c r="BX72" i="1"/>
  <c r="P29" i="34"/>
  <c r="P28" i="34"/>
  <c r="P33" i="34"/>
  <c r="P30" i="34"/>
  <c r="DD54" i="1"/>
  <c r="BV66" i="1" s="1"/>
  <c r="DD51" i="1"/>
  <c r="BV65" i="1" s="1"/>
  <c r="P59" i="1"/>
  <c r="P58" i="1"/>
  <c r="P56" i="1"/>
  <c r="P55" i="1"/>
  <c r="P57" i="1"/>
  <c r="P54" i="1"/>
  <c r="P53" i="1"/>
  <c r="P52" i="1"/>
  <c r="P51" i="1"/>
  <c r="P48" i="1"/>
  <c r="CY48" i="1"/>
  <c r="CY58" i="1"/>
  <c r="DD58" i="1" s="1"/>
  <c r="CY57" i="1"/>
  <c r="CY56" i="1"/>
  <c r="AR49" i="1"/>
  <c r="CY55" i="1"/>
  <c r="CY47" i="1"/>
  <c r="BV67" i="1" l="1"/>
  <c r="BV63" i="1"/>
  <c r="U59" i="1"/>
  <c r="G61" i="1" s="1"/>
  <c r="U54" i="1"/>
  <c r="U57" i="1"/>
  <c r="G65" i="1" s="1"/>
  <c r="DD48" i="1"/>
  <c r="DD57" i="1"/>
  <c r="BS48" i="1"/>
  <c r="BS49" i="1"/>
  <c r="BS47" i="1"/>
  <c r="AR54" i="1"/>
  <c r="AR55" i="1"/>
  <c r="AR56" i="1"/>
  <c r="AR53" i="1"/>
  <c r="AR48" i="1"/>
  <c r="AR47" i="1"/>
  <c r="P49" i="1"/>
  <c r="P50" i="1"/>
  <c r="P47" i="1"/>
  <c r="U48" i="1" s="1"/>
  <c r="BX49" i="1" l="1"/>
  <c r="AW56" i="1"/>
  <c r="G64" i="1" s="1"/>
  <c r="U51" i="1"/>
  <c r="AW53" i="1"/>
  <c r="AW49" i="1"/>
  <c r="G62" i="1" s="1"/>
  <c r="BX71" i="1" l="1"/>
  <c r="BR71" i="1"/>
  <c r="G63" i="1"/>
</calcChain>
</file>

<file path=xl/sharedStrings.xml><?xml version="1.0" encoding="utf-8"?>
<sst xmlns="http://schemas.openxmlformats.org/spreadsheetml/2006/main" count="2133" uniqueCount="1800">
  <si>
    <t>البند</t>
  </si>
  <si>
    <t>الوصف</t>
  </si>
  <si>
    <t>طبقة إعادة التدوير (FDR)</t>
  </si>
  <si>
    <t>رش طبقة التشريب (MCO)</t>
  </si>
  <si>
    <t>طبقة الاسفلت المحسن</t>
  </si>
  <si>
    <t>بنود أساسية</t>
  </si>
  <si>
    <t>بنود إضافية</t>
  </si>
  <si>
    <t>فرمة اولي  بدون اسمنت(FDR)</t>
  </si>
  <si>
    <t>طبقة أساس حبيبي</t>
  </si>
  <si>
    <t>الطريق الخدمي</t>
  </si>
  <si>
    <t>ملاحظات</t>
  </si>
  <si>
    <t>إعادة التدوير</t>
  </si>
  <si>
    <t xml:space="preserve">الأساس الحبيبي </t>
  </si>
  <si>
    <t>طبقة التشريب</t>
  </si>
  <si>
    <t>الاسفلت المحسن</t>
  </si>
  <si>
    <t>المستهدف</t>
  </si>
  <si>
    <t>مشروع صيانة طريق اوباري غات</t>
  </si>
  <si>
    <t>الاعمال المنجزة للمرحلة الاولي</t>
  </si>
  <si>
    <t>الاعمال السابقة (م.ط)</t>
  </si>
  <si>
    <t>اعمال اليوم (م.ط)</t>
  </si>
  <si>
    <t>الإجمالي (م.ط)</t>
  </si>
  <si>
    <t>اجمالي المنجز للمرحلة الاولي</t>
  </si>
  <si>
    <t>التاريخ</t>
  </si>
  <si>
    <t>45+000</t>
  </si>
  <si>
    <t>45+500</t>
  </si>
  <si>
    <t>45+100</t>
  </si>
  <si>
    <t>45+200</t>
  </si>
  <si>
    <t>45+300</t>
  </si>
  <si>
    <t>45+400</t>
  </si>
  <si>
    <t>45+580</t>
  </si>
  <si>
    <t>45+600</t>
  </si>
  <si>
    <t>45+700</t>
  </si>
  <si>
    <t>45+800</t>
  </si>
  <si>
    <t>45+900</t>
  </si>
  <si>
    <t>46+000</t>
  </si>
  <si>
    <t>46+100</t>
  </si>
  <si>
    <t>46+200</t>
  </si>
  <si>
    <t>46+300</t>
  </si>
  <si>
    <t>46+400</t>
  </si>
  <si>
    <t>46+500</t>
  </si>
  <si>
    <t>46+600</t>
  </si>
  <si>
    <t>46+700</t>
  </si>
  <si>
    <t>46+800</t>
  </si>
  <si>
    <t>46+900</t>
  </si>
  <si>
    <t>47+100</t>
  </si>
  <si>
    <t>47+200</t>
  </si>
  <si>
    <t>47+300</t>
  </si>
  <si>
    <t>47+400</t>
  </si>
  <si>
    <t>47+500</t>
  </si>
  <si>
    <t>47+600</t>
  </si>
  <si>
    <t>47+700</t>
  </si>
  <si>
    <t>47+800</t>
  </si>
  <si>
    <t>47+900</t>
  </si>
  <si>
    <t>48+000</t>
  </si>
  <si>
    <t>48+100</t>
  </si>
  <si>
    <t>48+200</t>
  </si>
  <si>
    <t>48+300</t>
  </si>
  <si>
    <t>48+400</t>
  </si>
  <si>
    <t>48+500</t>
  </si>
  <si>
    <t>48+600</t>
  </si>
  <si>
    <t>48+700</t>
  </si>
  <si>
    <t>48+800</t>
  </si>
  <si>
    <t>48+900</t>
  </si>
  <si>
    <t>49+000</t>
  </si>
  <si>
    <t>49+100</t>
  </si>
  <si>
    <t>49+200</t>
  </si>
  <si>
    <t>49+300</t>
  </si>
  <si>
    <t>49+400</t>
  </si>
  <si>
    <t>49+500</t>
  </si>
  <si>
    <t>49+600</t>
  </si>
  <si>
    <t>49+700</t>
  </si>
  <si>
    <t>49+800</t>
  </si>
  <si>
    <t>49+900</t>
  </si>
  <si>
    <t>50+000</t>
  </si>
  <si>
    <t>50+100</t>
  </si>
  <si>
    <t>50+200</t>
  </si>
  <si>
    <t>50+300</t>
  </si>
  <si>
    <t>50+400</t>
  </si>
  <si>
    <t>50+500</t>
  </si>
  <si>
    <t>50+600</t>
  </si>
  <si>
    <t>50+700</t>
  </si>
  <si>
    <t>50+800</t>
  </si>
  <si>
    <t>50+900</t>
  </si>
  <si>
    <t>51+000</t>
  </si>
  <si>
    <t>51+100</t>
  </si>
  <si>
    <t>51+200</t>
  </si>
  <si>
    <t>51+300</t>
  </si>
  <si>
    <t>51+400</t>
  </si>
  <si>
    <t>51+500</t>
  </si>
  <si>
    <t>51+600</t>
  </si>
  <si>
    <t>51+700</t>
  </si>
  <si>
    <t>51+800</t>
  </si>
  <si>
    <t>51+900</t>
  </si>
  <si>
    <t>52+000</t>
  </si>
  <si>
    <t>52+100</t>
  </si>
  <si>
    <t>52+200</t>
  </si>
  <si>
    <t>52+300</t>
  </si>
  <si>
    <t>52+400</t>
  </si>
  <si>
    <t>52+500</t>
  </si>
  <si>
    <t>52+600</t>
  </si>
  <si>
    <t>52+700</t>
  </si>
  <si>
    <t>52+800</t>
  </si>
  <si>
    <t>52+900</t>
  </si>
  <si>
    <t>53+000</t>
  </si>
  <si>
    <t>53+100</t>
  </si>
  <si>
    <t>53+200</t>
  </si>
  <si>
    <t>53+300</t>
  </si>
  <si>
    <t>53+400</t>
  </si>
  <si>
    <t>53+500</t>
  </si>
  <si>
    <t>53+600</t>
  </si>
  <si>
    <t>53+700</t>
  </si>
  <si>
    <t>53+800</t>
  </si>
  <si>
    <t>53+900</t>
  </si>
  <si>
    <t>54+000</t>
  </si>
  <si>
    <t>54+100</t>
  </si>
  <si>
    <t>54+200</t>
  </si>
  <si>
    <t>54+300</t>
  </si>
  <si>
    <t>54+400</t>
  </si>
  <si>
    <t>54+500</t>
  </si>
  <si>
    <t>54+600</t>
  </si>
  <si>
    <t>54+700</t>
  </si>
  <si>
    <t>54+800</t>
  </si>
  <si>
    <t>54+900</t>
  </si>
  <si>
    <t>55+000</t>
  </si>
  <si>
    <t>55+100</t>
  </si>
  <si>
    <t>55+200</t>
  </si>
  <si>
    <t>55+300</t>
  </si>
  <si>
    <t>55+400</t>
  </si>
  <si>
    <t>55+500</t>
  </si>
  <si>
    <t>55+600</t>
  </si>
  <si>
    <t>55+700</t>
  </si>
  <si>
    <t>55+800</t>
  </si>
  <si>
    <t>55+900</t>
  </si>
  <si>
    <t>56+000</t>
  </si>
  <si>
    <t>56+100</t>
  </si>
  <si>
    <t>56+200</t>
  </si>
  <si>
    <t>56+300</t>
  </si>
  <si>
    <t>56+400</t>
  </si>
  <si>
    <t>56+500</t>
  </si>
  <si>
    <t>56+600</t>
  </si>
  <si>
    <t>56+700</t>
  </si>
  <si>
    <t>56+800</t>
  </si>
  <si>
    <t>56+900</t>
  </si>
  <si>
    <t>57+000</t>
  </si>
  <si>
    <t>57+100</t>
  </si>
  <si>
    <t>57+200</t>
  </si>
  <si>
    <t>57+300</t>
  </si>
  <si>
    <t>57+400</t>
  </si>
  <si>
    <t>57+500</t>
  </si>
  <si>
    <t>57+600</t>
  </si>
  <si>
    <t>57+700</t>
  </si>
  <si>
    <t>57+800</t>
  </si>
  <si>
    <t>57+900</t>
  </si>
  <si>
    <t>58+000</t>
  </si>
  <si>
    <t>58+100</t>
  </si>
  <si>
    <t>58+200</t>
  </si>
  <si>
    <t>58+300</t>
  </si>
  <si>
    <t>58+400</t>
  </si>
  <si>
    <t>58+500</t>
  </si>
  <si>
    <t>58+600</t>
  </si>
  <si>
    <t>58+700</t>
  </si>
  <si>
    <t>58+800</t>
  </si>
  <si>
    <t>58+900</t>
  </si>
  <si>
    <t>59+000</t>
  </si>
  <si>
    <t>59+100</t>
  </si>
  <si>
    <t>59+200</t>
  </si>
  <si>
    <t>59+300</t>
  </si>
  <si>
    <t>59+400</t>
  </si>
  <si>
    <t>59+500</t>
  </si>
  <si>
    <t>59+600</t>
  </si>
  <si>
    <t>59+700</t>
  </si>
  <si>
    <t>59+800</t>
  </si>
  <si>
    <t>59+900</t>
  </si>
  <si>
    <t>60+000</t>
  </si>
  <si>
    <t>60+100</t>
  </si>
  <si>
    <t>60+200</t>
  </si>
  <si>
    <t>60+300</t>
  </si>
  <si>
    <t>60+400</t>
  </si>
  <si>
    <t>60+500</t>
  </si>
  <si>
    <t>60+600</t>
  </si>
  <si>
    <t>60+700</t>
  </si>
  <si>
    <t>60+800</t>
  </si>
  <si>
    <t>60+900</t>
  </si>
  <si>
    <t>70+000</t>
  </si>
  <si>
    <t>70+100</t>
  </si>
  <si>
    <t>70+200</t>
  </si>
  <si>
    <t>70+300</t>
  </si>
  <si>
    <t>70+400</t>
  </si>
  <si>
    <t>70+500</t>
  </si>
  <si>
    <t>70+600</t>
  </si>
  <si>
    <t>70+700</t>
  </si>
  <si>
    <t>70+800</t>
  </si>
  <si>
    <t>70+900</t>
  </si>
  <si>
    <t>61+000</t>
  </si>
  <si>
    <t>61+100</t>
  </si>
  <si>
    <t>61+200</t>
  </si>
  <si>
    <t>61+300</t>
  </si>
  <si>
    <t>61+400</t>
  </si>
  <si>
    <t>61+500</t>
  </si>
  <si>
    <t>61+600</t>
  </si>
  <si>
    <t>61+700</t>
  </si>
  <si>
    <t>61+800</t>
  </si>
  <si>
    <t>61+900</t>
  </si>
  <si>
    <t>62+000</t>
  </si>
  <si>
    <t>62+100</t>
  </si>
  <si>
    <t>62+200</t>
  </si>
  <si>
    <t>62+300</t>
  </si>
  <si>
    <t>62+400</t>
  </si>
  <si>
    <t>62+500</t>
  </si>
  <si>
    <t>62+600</t>
  </si>
  <si>
    <t>62+700</t>
  </si>
  <si>
    <t>62+800</t>
  </si>
  <si>
    <t>62+900</t>
  </si>
  <si>
    <t>63+000</t>
  </si>
  <si>
    <t>63+100</t>
  </si>
  <si>
    <t>63+200</t>
  </si>
  <si>
    <t>63+300</t>
  </si>
  <si>
    <t>63+400</t>
  </si>
  <si>
    <t>63+500</t>
  </si>
  <si>
    <t>63+600</t>
  </si>
  <si>
    <t>63+700</t>
  </si>
  <si>
    <t>63+800</t>
  </si>
  <si>
    <t>63+900</t>
  </si>
  <si>
    <t>64+000</t>
  </si>
  <si>
    <t>64+100</t>
  </si>
  <si>
    <t>64+200</t>
  </si>
  <si>
    <t>64+300</t>
  </si>
  <si>
    <t>64+400</t>
  </si>
  <si>
    <t>64+500</t>
  </si>
  <si>
    <t>64+600</t>
  </si>
  <si>
    <t>64+700</t>
  </si>
  <si>
    <t>64+800</t>
  </si>
  <si>
    <t>64+900</t>
  </si>
  <si>
    <t>65+000</t>
  </si>
  <si>
    <t>65+100</t>
  </si>
  <si>
    <t>65+200</t>
  </si>
  <si>
    <t>65+300</t>
  </si>
  <si>
    <t>65+400</t>
  </si>
  <si>
    <t>65+500</t>
  </si>
  <si>
    <t>65+600</t>
  </si>
  <si>
    <t>65+700</t>
  </si>
  <si>
    <t>65+800</t>
  </si>
  <si>
    <t>65+900</t>
  </si>
  <si>
    <t>66+000</t>
  </si>
  <si>
    <t>66+100</t>
  </si>
  <si>
    <t>66+200</t>
  </si>
  <si>
    <t>66+300</t>
  </si>
  <si>
    <t>66+400</t>
  </si>
  <si>
    <t>66+500</t>
  </si>
  <si>
    <t>66+600</t>
  </si>
  <si>
    <t>66+700</t>
  </si>
  <si>
    <t>66+800</t>
  </si>
  <si>
    <t>66+900</t>
  </si>
  <si>
    <t>67+000</t>
  </si>
  <si>
    <t>67+100</t>
  </si>
  <si>
    <t>67+200</t>
  </si>
  <si>
    <t>67+300</t>
  </si>
  <si>
    <t>67+400</t>
  </si>
  <si>
    <t>67+500</t>
  </si>
  <si>
    <t>67+600</t>
  </si>
  <si>
    <t>67+700</t>
  </si>
  <si>
    <t>67+800</t>
  </si>
  <si>
    <t>67+900</t>
  </si>
  <si>
    <t>68+000</t>
  </si>
  <si>
    <t>68+100</t>
  </si>
  <si>
    <t>68+200</t>
  </si>
  <si>
    <t>68+300</t>
  </si>
  <si>
    <t>68+400</t>
  </si>
  <si>
    <t>68+500</t>
  </si>
  <si>
    <t>68+600</t>
  </si>
  <si>
    <t>68+700</t>
  </si>
  <si>
    <t>68+800</t>
  </si>
  <si>
    <t>68+900</t>
  </si>
  <si>
    <t>69+000</t>
  </si>
  <si>
    <t>69+100</t>
  </si>
  <si>
    <t>69+200</t>
  </si>
  <si>
    <t>69+300</t>
  </si>
  <si>
    <t>69+400</t>
  </si>
  <si>
    <t>69+500</t>
  </si>
  <si>
    <t>69+600</t>
  </si>
  <si>
    <t>69+700</t>
  </si>
  <si>
    <t>69+800</t>
  </si>
  <si>
    <t>69+900</t>
  </si>
  <si>
    <t>58+730</t>
  </si>
  <si>
    <t>59+930</t>
  </si>
  <si>
    <t>59+030</t>
  </si>
  <si>
    <t>60+080</t>
  </si>
  <si>
    <t>63+080</t>
  </si>
  <si>
    <t>46+670</t>
  </si>
  <si>
    <t>59+630</t>
  </si>
  <si>
    <t>59+920</t>
  </si>
  <si>
    <t>60+090</t>
  </si>
  <si>
    <t>46+870</t>
  </si>
  <si>
    <t>61+825</t>
  </si>
  <si>
    <t>65+580</t>
  </si>
  <si>
    <t>القطاع التاني شركة نيوم</t>
  </si>
  <si>
    <t>القطاع الأول شركة حسن علام</t>
  </si>
  <si>
    <t>00+000</t>
  </si>
  <si>
    <t>00+100</t>
  </si>
  <si>
    <t>00+200</t>
  </si>
  <si>
    <t>00+300</t>
  </si>
  <si>
    <t>00+400</t>
  </si>
  <si>
    <t>00+500</t>
  </si>
  <si>
    <t>00+600</t>
  </si>
  <si>
    <t>00+700</t>
  </si>
  <si>
    <t>00+800</t>
  </si>
  <si>
    <t>00+900</t>
  </si>
  <si>
    <t>01+000</t>
  </si>
  <si>
    <t>01+100</t>
  </si>
  <si>
    <t>01+200</t>
  </si>
  <si>
    <t>01+300</t>
  </si>
  <si>
    <t>01+400</t>
  </si>
  <si>
    <t>01+500</t>
  </si>
  <si>
    <t>01+600</t>
  </si>
  <si>
    <t>01+700</t>
  </si>
  <si>
    <t>01+800</t>
  </si>
  <si>
    <t>01+900</t>
  </si>
  <si>
    <t>02+000</t>
  </si>
  <si>
    <t>47+000</t>
  </si>
  <si>
    <t>02+100</t>
  </si>
  <si>
    <t>02+200</t>
  </si>
  <si>
    <t>02+300</t>
  </si>
  <si>
    <t>02+400</t>
  </si>
  <si>
    <t>02+500</t>
  </si>
  <si>
    <t>02+600</t>
  </si>
  <si>
    <t>02+700</t>
  </si>
  <si>
    <t>02+800</t>
  </si>
  <si>
    <t>02+900</t>
  </si>
  <si>
    <t>03+000</t>
  </si>
  <si>
    <t>03+100</t>
  </si>
  <si>
    <t>03+200</t>
  </si>
  <si>
    <t>03+300</t>
  </si>
  <si>
    <t>03+400</t>
  </si>
  <si>
    <t>03+500</t>
  </si>
  <si>
    <t>03+600</t>
  </si>
  <si>
    <t>03+700</t>
  </si>
  <si>
    <t>03+800</t>
  </si>
  <si>
    <t>03+900</t>
  </si>
  <si>
    <t>04+000</t>
  </si>
  <si>
    <t>04+100</t>
  </si>
  <si>
    <t>04+200</t>
  </si>
  <si>
    <t>04+300</t>
  </si>
  <si>
    <t>04+400</t>
  </si>
  <si>
    <t>04+500</t>
  </si>
  <si>
    <t>04+600</t>
  </si>
  <si>
    <t>04+700</t>
  </si>
  <si>
    <t>04+800</t>
  </si>
  <si>
    <t>04+900</t>
  </si>
  <si>
    <t>05+000</t>
  </si>
  <si>
    <t>05+100</t>
  </si>
  <si>
    <t>05+200</t>
  </si>
  <si>
    <t>05+300</t>
  </si>
  <si>
    <t>05+400</t>
  </si>
  <si>
    <t>05+500</t>
  </si>
  <si>
    <t>05+600</t>
  </si>
  <si>
    <t>05+700</t>
  </si>
  <si>
    <t>05+800</t>
  </si>
  <si>
    <t>05+900</t>
  </si>
  <si>
    <t>06+000</t>
  </si>
  <si>
    <t>06+100</t>
  </si>
  <si>
    <t>06+200</t>
  </si>
  <si>
    <t>06+300</t>
  </si>
  <si>
    <t>06+400</t>
  </si>
  <si>
    <t>06+500</t>
  </si>
  <si>
    <t>06+600</t>
  </si>
  <si>
    <t>06+700</t>
  </si>
  <si>
    <t>06+800</t>
  </si>
  <si>
    <t>06+900</t>
  </si>
  <si>
    <t>07+000</t>
  </si>
  <si>
    <t>07+100</t>
  </si>
  <si>
    <t>07+200</t>
  </si>
  <si>
    <t>07+300</t>
  </si>
  <si>
    <t>07+400</t>
  </si>
  <si>
    <t>07+500</t>
  </si>
  <si>
    <t>07+600</t>
  </si>
  <si>
    <t>07+700</t>
  </si>
  <si>
    <t>07+800</t>
  </si>
  <si>
    <t>07+900</t>
  </si>
  <si>
    <t>08+000</t>
  </si>
  <si>
    <t>08+100</t>
  </si>
  <si>
    <t>08+200</t>
  </si>
  <si>
    <t>08+300</t>
  </si>
  <si>
    <t>08+400</t>
  </si>
  <si>
    <t>08+500</t>
  </si>
  <si>
    <t>08+600</t>
  </si>
  <si>
    <t>08+700</t>
  </si>
  <si>
    <t>08+800</t>
  </si>
  <si>
    <t>08+900</t>
  </si>
  <si>
    <t>09+000</t>
  </si>
  <si>
    <t>09+100</t>
  </si>
  <si>
    <t>09+200</t>
  </si>
  <si>
    <t>09+300</t>
  </si>
  <si>
    <t>09+400</t>
  </si>
  <si>
    <t>09+500</t>
  </si>
  <si>
    <t>09+600</t>
  </si>
  <si>
    <t>09+700</t>
  </si>
  <si>
    <t>09+800</t>
  </si>
  <si>
    <t>09+900</t>
  </si>
  <si>
    <t>10+000</t>
  </si>
  <si>
    <t>10+100</t>
  </si>
  <si>
    <t>10+200</t>
  </si>
  <si>
    <t>10+300</t>
  </si>
  <si>
    <t>10+400</t>
  </si>
  <si>
    <t>10+500</t>
  </si>
  <si>
    <t>10+600</t>
  </si>
  <si>
    <t>10+700</t>
  </si>
  <si>
    <t>10+800</t>
  </si>
  <si>
    <t>10+900</t>
  </si>
  <si>
    <t>11+000</t>
  </si>
  <si>
    <t>11+100</t>
  </si>
  <si>
    <t>11+200</t>
  </si>
  <si>
    <t>11+300</t>
  </si>
  <si>
    <t>11+400</t>
  </si>
  <si>
    <t>11+500</t>
  </si>
  <si>
    <t>11+600</t>
  </si>
  <si>
    <t>11+700</t>
  </si>
  <si>
    <t>11+800</t>
  </si>
  <si>
    <t>11+900</t>
  </si>
  <si>
    <t>12+000</t>
  </si>
  <si>
    <t>12+100</t>
  </si>
  <si>
    <t>12+200</t>
  </si>
  <si>
    <t>12+300</t>
  </si>
  <si>
    <t>12+400</t>
  </si>
  <si>
    <t>12+500</t>
  </si>
  <si>
    <t>12+600</t>
  </si>
  <si>
    <t>12+700</t>
  </si>
  <si>
    <t>12+800</t>
  </si>
  <si>
    <t>12+900</t>
  </si>
  <si>
    <t>13+000</t>
  </si>
  <si>
    <t>13+100</t>
  </si>
  <si>
    <t>13+200</t>
  </si>
  <si>
    <t>13+300</t>
  </si>
  <si>
    <t>13+400</t>
  </si>
  <si>
    <t>13+500</t>
  </si>
  <si>
    <t>13+600</t>
  </si>
  <si>
    <t>13+700</t>
  </si>
  <si>
    <t>13+800</t>
  </si>
  <si>
    <t>13+900</t>
  </si>
  <si>
    <t>14+000</t>
  </si>
  <si>
    <t>14+100</t>
  </si>
  <si>
    <t>14+200</t>
  </si>
  <si>
    <t>14+300</t>
  </si>
  <si>
    <t>14+400</t>
  </si>
  <si>
    <t>14+500</t>
  </si>
  <si>
    <t>14+600</t>
  </si>
  <si>
    <t>14+700</t>
  </si>
  <si>
    <t>14+800</t>
  </si>
  <si>
    <t>14+900</t>
  </si>
  <si>
    <t>15+000</t>
  </si>
  <si>
    <t>15+100</t>
  </si>
  <si>
    <t>15+200</t>
  </si>
  <si>
    <t>15+300</t>
  </si>
  <si>
    <t>15+400</t>
  </si>
  <si>
    <t>15+500</t>
  </si>
  <si>
    <t>15+600</t>
  </si>
  <si>
    <t>15+700</t>
  </si>
  <si>
    <t>15+800</t>
  </si>
  <si>
    <t>15+900</t>
  </si>
  <si>
    <t>16+000</t>
  </si>
  <si>
    <t>16+100</t>
  </si>
  <si>
    <t>16+200</t>
  </si>
  <si>
    <t>16+300</t>
  </si>
  <si>
    <t>16+400</t>
  </si>
  <si>
    <t>16+500</t>
  </si>
  <si>
    <t>16+600</t>
  </si>
  <si>
    <t>16+700</t>
  </si>
  <si>
    <t>16+800</t>
  </si>
  <si>
    <t>16+900</t>
  </si>
  <si>
    <t>17+000</t>
  </si>
  <si>
    <t>17+100</t>
  </si>
  <si>
    <t>17+200</t>
  </si>
  <si>
    <t>17+300</t>
  </si>
  <si>
    <t>17+400</t>
  </si>
  <si>
    <t>17+500</t>
  </si>
  <si>
    <t>17+600</t>
  </si>
  <si>
    <t>17+700</t>
  </si>
  <si>
    <t>17+800</t>
  </si>
  <si>
    <t>17+900</t>
  </si>
  <si>
    <t>18+000</t>
  </si>
  <si>
    <t>18+100</t>
  </si>
  <si>
    <t>18+200</t>
  </si>
  <si>
    <t>18+300</t>
  </si>
  <si>
    <t>18+400</t>
  </si>
  <si>
    <t>18+500</t>
  </si>
  <si>
    <t>18+600</t>
  </si>
  <si>
    <t>18+700</t>
  </si>
  <si>
    <t>18+800</t>
  </si>
  <si>
    <t>18+900</t>
  </si>
  <si>
    <t>19+000</t>
  </si>
  <si>
    <t>19+100</t>
  </si>
  <si>
    <t>19+200</t>
  </si>
  <si>
    <t>19+300</t>
  </si>
  <si>
    <t>19+400</t>
  </si>
  <si>
    <t>19+500</t>
  </si>
  <si>
    <t>19+600</t>
  </si>
  <si>
    <t>19+700</t>
  </si>
  <si>
    <t>19+800</t>
  </si>
  <si>
    <t>19+900</t>
  </si>
  <si>
    <t>20+000</t>
  </si>
  <si>
    <t>20+100</t>
  </si>
  <si>
    <t>20+200</t>
  </si>
  <si>
    <t>20+300</t>
  </si>
  <si>
    <t>20+400</t>
  </si>
  <si>
    <t>20+500</t>
  </si>
  <si>
    <t>20+600</t>
  </si>
  <si>
    <t>20+700</t>
  </si>
  <si>
    <t>20+800</t>
  </si>
  <si>
    <t>20+900</t>
  </si>
  <si>
    <t>21+000</t>
  </si>
  <si>
    <t>21+100</t>
  </si>
  <si>
    <t>21+200</t>
  </si>
  <si>
    <t>21+300</t>
  </si>
  <si>
    <t>21+400</t>
  </si>
  <si>
    <t>21+500</t>
  </si>
  <si>
    <t>21+600</t>
  </si>
  <si>
    <t>21+700</t>
  </si>
  <si>
    <t>21+800</t>
  </si>
  <si>
    <t>21+900</t>
  </si>
  <si>
    <t>22+000</t>
  </si>
  <si>
    <t>22+100</t>
  </si>
  <si>
    <t>22+200</t>
  </si>
  <si>
    <t>22+300</t>
  </si>
  <si>
    <t>22+400</t>
  </si>
  <si>
    <t>22+500</t>
  </si>
  <si>
    <t>22+600</t>
  </si>
  <si>
    <t>22+700</t>
  </si>
  <si>
    <t>22+800</t>
  </si>
  <si>
    <t>22+900</t>
  </si>
  <si>
    <t>23+000</t>
  </si>
  <si>
    <t>23+100</t>
  </si>
  <si>
    <t>23+200</t>
  </si>
  <si>
    <t>23+300</t>
  </si>
  <si>
    <t>23+400</t>
  </si>
  <si>
    <t>23+500</t>
  </si>
  <si>
    <t>23+600</t>
  </si>
  <si>
    <t>23+700</t>
  </si>
  <si>
    <t>23+800</t>
  </si>
  <si>
    <t>23+900</t>
  </si>
  <si>
    <t>24+000</t>
  </si>
  <si>
    <t>24+100</t>
  </si>
  <si>
    <t>24+200</t>
  </si>
  <si>
    <t>24+300</t>
  </si>
  <si>
    <t>24+400</t>
  </si>
  <si>
    <t>24+500</t>
  </si>
  <si>
    <t>24+600</t>
  </si>
  <si>
    <t>24+700</t>
  </si>
  <si>
    <t>24+800</t>
  </si>
  <si>
    <t>24+900</t>
  </si>
  <si>
    <t>25+000</t>
  </si>
  <si>
    <t>25+100</t>
  </si>
  <si>
    <t>25+200</t>
  </si>
  <si>
    <t>25+300</t>
  </si>
  <si>
    <t>25+400</t>
  </si>
  <si>
    <t>25+500</t>
  </si>
  <si>
    <t>25+600</t>
  </si>
  <si>
    <t>25+700</t>
  </si>
  <si>
    <t>25+800</t>
  </si>
  <si>
    <t>25+900</t>
  </si>
  <si>
    <t>26+000</t>
  </si>
  <si>
    <t>26+100</t>
  </si>
  <si>
    <t>26+200</t>
  </si>
  <si>
    <t>26+300</t>
  </si>
  <si>
    <t>26+400</t>
  </si>
  <si>
    <t>26+500</t>
  </si>
  <si>
    <t>26+600</t>
  </si>
  <si>
    <t>26+700</t>
  </si>
  <si>
    <t>26+800</t>
  </si>
  <si>
    <t>26+900</t>
  </si>
  <si>
    <t>27+000</t>
  </si>
  <si>
    <t>27+100</t>
  </si>
  <si>
    <t>27+200</t>
  </si>
  <si>
    <t>27+300</t>
  </si>
  <si>
    <t>27+400</t>
  </si>
  <si>
    <t>27+500</t>
  </si>
  <si>
    <t>27+600</t>
  </si>
  <si>
    <t>27+700</t>
  </si>
  <si>
    <t>27+800</t>
  </si>
  <si>
    <t>27+900</t>
  </si>
  <si>
    <t>28+000</t>
  </si>
  <si>
    <t>28+100</t>
  </si>
  <si>
    <t>28+200</t>
  </si>
  <si>
    <t>28+300</t>
  </si>
  <si>
    <t>28+400</t>
  </si>
  <si>
    <t>28+500</t>
  </si>
  <si>
    <t>28+600</t>
  </si>
  <si>
    <t>28+700</t>
  </si>
  <si>
    <t>28+800</t>
  </si>
  <si>
    <t>28+900</t>
  </si>
  <si>
    <t>29+000</t>
  </si>
  <si>
    <t>29+100</t>
  </si>
  <si>
    <t>29+200</t>
  </si>
  <si>
    <t>29+300</t>
  </si>
  <si>
    <t>29+400</t>
  </si>
  <si>
    <t>29+500</t>
  </si>
  <si>
    <t>29+600</t>
  </si>
  <si>
    <t>29+700</t>
  </si>
  <si>
    <t>29+800</t>
  </si>
  <si>
    <t>29+900</t>
  </si>
  <si>
    <t>30+000</t>
  </si>
  <si>
    <t>30+100</t>
  </si>
  <si>
    <t>30+200</t>
  </si>
  <si>
    <t>30+300</t>
  </si>
  <si>
    <t>30+400</t>
  </si>
  <si>
    <t>30+500</t>
  </si>
  <si>
    <t>30+600</t>
  </si>
  <si>
    <t>30+700</t>
  </si>
  <si>
    <t>30+800</t>
  </si>
  <si>
    <t>30+900</t>
  </si>
  <si>
    <t>31+000</t>
  </si>
  <si>
    <t>31+100</t>
  </si>
  <si>
    <t>31+200</t>
  </si>
  <si>
    <t>31+300</t>
  </si>
  <si>
    <t>31+400</t>
  </si>
  <si>
    <t>31+500</t>
  </si>
  <si>
    <t>31+600</t>
  </si>
  <si>
    <t>31+700</t>
  </si>
  <si>
    <t>31+800</t>
  </si>
  <si>
    <t>31+900</t>
  </si>
  <si>
    <t>32+000</t>
  </si>
  <si>
    <t>32+100</t>
  </si>
  <si>
    <t>32+200</t>
  </si>
  <si>
    <t>32+300</t>
  </si>
  <si>
    <t>32+400</t>
  </si>
  <si>
    <t>32+500</t>
  </si>
  <si>
    <t>32+600</t>
  </si>
  <si>
    <t>32+700</t>
  </si>
  <si>
    <t>32+800</t>
  </si>
  <si>
    <t>32+900</t>
  </si>
  <si>
    <t>33+000</t>
  </si>
  <si>
    <t>33+100</t>
  </si>
  <si>
    <t>33+200</t>
  </si>
  <si>
    <t>33+300</t>
  </si>
  <si>
    <t>33+400</t>
  </si>
  <si>
    <t>33+500</t>
  </si>
  <si>
    <t>33+600</t>
  </si>
  <si>
    <t>33+700</t>
  </si>
  <si>
    <t>33+800</t>
  </si>
  <si>
    <t>33+900</t>
  </si>
  <si>
    <t>34+000</t>
  </si>
  <si>
    <t>34+100</t>
  </si>
  <si>
    <t>34+200</t>
  </si>
  <si>
    <t>34+300</t>
  </si>
  <si>
    <t>34+400</t>
  </si>
  <si>
    <t>34+500</t>
  </si>
  <si>
    <t>34+600</t>
  </si>
  <si>
    <t>34+700</t>
  </si>
  <si>
    <t>34+800</t>
  </si>
  <si>
    <t>34+900</t>
  </si>
  <si>
    <t>35+000</t>
  </si>
  <si>
    <t>35+100</t>
  </si>
  <si>
    <t>35+200</t>
  </si>
  <si>
    <t>35+300</t>
  </si>
  <si>
    <t>35+400</t>
  </si>
  <si>
    <t>35+500</t>
  </si>
  <si>
    <t>35+600</t>
  </si>
  <si>
    <t>35+700</t>
  </si>
  <si>
    <t>35+800</t>
  </si>
  <si>
    <t>35+900</t>
  </si>
  <si>
    <t>36+000</t>
  </si>
  <si>
    <t>36+100</t>
  </si>
  <si>
    <t>36+200</t>
  </si>
  <si>
    <t>36+300</t>
  </si>
  <si>
    <t>36+400</t>
  </si>
  <si>
    <t>36+500</t>
  </si>
  <si>
    <t>36+600</t>
  </si>
  <si>
    <t>36+700</t>
  </si>
  <si>
    <t>36+800</t>
  </si>
  <si>
    <t>36+900</t>
  </si>
  <si>
    <t>37+000</t>
  </si>
  <si>
    <t>37+100</t>
  </si>
  <si>
    <t>37+200</t>
  </si>
  <si>
    <t>37+300</t>
  </si>
  <si>
    <t>37+400</t>
  </si>
  <si>
    <t>37+500</t>
  </si>
  <si>
    <t>37+600</t>
  </si>
  <si>
    <t>37+700</t>
  </si>
  <si>
    <t>37+800</t>
  </si>
  <si>
    <t>37+900</t>
  </si>
  <si>
    <t>38+000</t>
  </si>
  <si>
    <t>38+100</t>
  </si>
  <si>
    <t>38+200</t>
  </si>
  <si>
    <t>38+300</t>
  </si>
  <si>
    <t>38+400</t>
  </si>
  <si>
    <t>38+500</t>
  </si>
  <si>
    <t>38+600</t>
  </si>
  <si>
    <t>38+700</t>
  </si>
  <si>
    <t>38+800</t>
  </si>
  <si>
    <t>38+900</t>
  </si>
  <si>
    <t>39+000</t>
  </si>
  <si>
    <t>39+100</t>
  </si>
  <si>
    <t>39+200</t>
  </si>
  <si>
    <t>39+300</t>
  </si>
  <si>
    <t>39+400</t>
  </si>
  <si>
    <t>39+500</t>
  </si>
  <si>
    <t>39+600</t>
  </si>
  <si>
    <t>39+700</t>
  </si>
  <si>
    <t>39+800</t>
  </si>
  <si>
    <t>39+900</t>
  </si>
  <si>
    <t>40+000</t>
  </si>
  <si>
    <t>40+100</t>
  </si>
  <si>
    <t>40+200</t>
  </si>
  <si>
    <t>40+300</t>
  </si>
  <si>
    <t>40+400</t>
  </si>
  <si>
    <t>40+500</t>
  </si>
  <si>
    <t>40+600</t>
  </si>
  <si>
    <t>40+700</t>
  </si>
  <si>
    <t>40+800</t>
  </si>
  <si>
    <t>40+900</t>
  </si>
  <si>
    <t>41+000</t>
  </si>
  <si>
    <t>41+100</t>
  </si>
  <si>
    <t>41+200</t>
  </si>
  <si>
    <t>41+300</t>
  </si>
  <si>
    <t>41+400</t>
  </si>
  <si>
    <t>41+500</t>
  </si>
  <si>
    <t>41+600</t>
  </si>
  <si>
    <t>41+700</t>
  </si>
  <si>
    <t>41+800</t>
  </si>
  <si>
    <t>41+900</t>
  </si>
  <si>
    <t>42+000</t>
  </si>
  <si>
    <t>42+100</t>
  </si>
  <si>
    <t>42+200</t>
  </si>
  <si>
    <t>42+300</t>
  </si>
  <si>
    <t>42+400</t>
  </si>
  <si>
    <t>42+500</t>
  </si>
  <si>
    <t>42+600</t>
  </si>
  <si>
    <t>42+700</t>
  </si>
  <si>
    <t>42+800</t>
  </si>
  <si>
    <t>42+900</t>
  </si>
  <si>
    <t>43+000</t>
  </si>
  <si>
    <t>43+100</t>
  </si>
  <si>
    <t>43+200</t>
  </si>
  <si>
    <t>43+300</t>
  </si>
  <si>
    <t>43+400</t>
  </si>
  <si>
    <t>43+500</t>
  </si>
  <si>
    <t>43+600</t>
  </si>
  <si>
    <t>43+700</t>
  </si>
  <si>
    <t>43+800</t>
  </si>
  <si>
    <t>43+900</t>
  </si>
  <si>
    <t>44+000</t>
  </si>
  <si>
    <t>44+100</t>
  </si>
  <si>
    <t>44+200</t>
  </si>
  <si>
    <t>44+300</t>
  </si>
  <si>
    <t>44+400</t>
  </si>
  <si>
    <t>44+500</t>
  </si>
  <si>
    <t>44+600</t>
  </si>
  <si>
    <t>44+700</t>
  </si>
  <si>
    <t>44+800</t>
  </si>
  <si>
    <t>44+900</t>
  </si>
  <si>
    <t>05+540</t>
  </si>
  <si>
    <t>29+335</t>
  </si>
  <si>
    <t>05+550</t>
  </si>
  <si>
    <t>10+320</t>
  </si>
  <si>
    <t>11+010</t>
  </si>
  <si>
    <t>05+710</t>
  </si>
  <si>
    <t>11+020</t>
  </si>
  <si>
    <t>14+430</t>
  </si>
  <si>
    <t>القطاع الثالث شركة اوراسكوم</t>
  </si>
  <si>
    <t>90+000</t>
  </si>
  <si>
    <t>90+100</t>
  </si>
  <si>
    <t>90+200</t>
  </si>
  <si>
    <t>90+300</t>
  </si>
  <si>
    <t>90+400</t>
  </si>
  <si>
    <t>90+500</t>
  </si>
  <si>
    <t>90+600</t>
  </si>
  <si>
    <t>90+700</t>
  </si>
  <si>
    <t>90+800</t>
  </si>
  <si>
    <t>90+900</t>
  </si>
  <si>
    <t>91+000</t>
  </si>
  <si>
    <t>91+100</t>
  </si>
  <si>
    <t>91+200</t>
  </si>
  <si>
    <t>91+300</t>
  </si>
  <si>
    <t>91+400</t>
  </si>
  <si>
    <t>91+500</t>
  </si>
  <si>
    <t>91+600</t>
  </si>
  <si>
    <t>91+700</t>
  </si>
  <si>
    <t>91+800</t>
  </si>
  <si>
    <t>91+900</t>
  </si>
  <si>
    <t>92+000</t>
  </si>
  <si>
    <t>92+100</t>
  </si>
  <si>
    <t>92+200</t>
  </si>
  <si>
    <t>92+300</t>
  </si>
  <si>
    <t>92+400</t>
  </si>
  <si>
    <t>92+500</t>
  </si>
  <si>
    <t>92+600</t>
  </si>
  <si>
    <t>92+700</t>
  </si>
  <si>
    <t>92+800</t>
  </si>
  <si>
    <t>92+900</t>
  </si>
  <si>
    <t>93+000</t>
  </si>
  <si>
    <t>93+100</t>
  </si>
  <si>
    <t>93+200</t>
  </si>
  <si>
    <t>93+300</t>
  </si>
  <si>
    <t>93+400</t>
  </si>
  <si>
    <t>93+500</t>
  </si>
  <si>
    <t>93+600</t>
  </si>
  <si>
    <t>93+700</t>
  </si>
  <si>
    <t>93+800</t>
  </si>
  <si>
    <t>93+900</t>
  </si>
  <si>
    <t>94+100</t>
  </si>
  <si>
    <t>94+000</t>
  </si>
  <si>
    <t>94+200</t>
  </si>
  <si>
    <t>94+300</t>
  </si>
  <si>
    <t>94+400</t>
  </si>
  <si>
    <t>94+500</t>
  </si>
  <si>
    <t>94+600</t>
  </si>
  <si>
    <t>94+700</t>
  </si>
  <si>
    <t>94+800</t>
  </si>
  <si>
    <t>94+900</t>
  </si>
  <si>
    <t>95+000</t>
  </si>
  <si>
    <t>95+100</t>
  </si>
  <si>
    <t>95+200</t>
  </si>
  <si>
    <t>95+300</t>
  </si>
  <si>
    <t>95+400</t>
  </si>
  <si>
    <t>95+500</t>
  </si>
  <si>
    <t>95+600</t>
  </si>
  <si>
    <t>95+700</t>
  </si>
  <si>
    <t>95+800</t>
  </si>
  <si>
    <t>95+900</t>
  </si>
  <si>
    <t>96+000</t>
  </si>
  <si>
    <t>96+100</t>
  </si>
  <si>
    <t>96+200</t>
  </si>
  <si>
    <t>96+300</t>
  </si>
  <si>
    <t>96+400</t>
  </si>
  <si>
    <t>96+500</t>
  </si>
  <si>
    <t>96+600</t>
  </si>
  <si>
    <t>96+700</t>
  </si>
  <si>
    <t>96+800</t>
  </si>
  <si>
    <t>96+900</t>
  </si>
  <si>
    <t>97+000</t>
  </si>
  <si>
    <t>97+100</t>
  </si>
  <si>
    <t>97+200</t>
  </si>
  <si>
    <t>97+300</t>
  </si>
  <si>
    <t>97+400</t>
  </si>
  <si>
    <t>97+500</t>
  </si>
  <si>
    <t>97+600</t>
  </si>
  <si>
    <t>97+700</t>
  </si>
  <si>
    <t>97+800</t>
  </si>
  <si>
    <t>97+900</t>
  </si>
  <si>
    <t>98+000</t>
  </si>
  <si>
    <t>98+100</t>
  </si>
  <si>
    <t>98+200</t>
  </si>
  <si>
    <t>98+300</t>
  </si>
  <si>
    <t>98+400</t>
  </si>
  <si>
    <t>98+500</t>
  </si>
  <si>
    <t>98+600</t>
  </si>
  <si>
    <t>98+700</t>
  </si>
  <si>
    <t>98+800</t>
  </si>
  <si>
    <t>98+900</t>
  </si>
  <si>
    <t>99+000</t>
  </si>
  <si>
    <t>99+100</t>
  </si>
  <si>
    <t>99+200</t>
  </si>
  <si>
    <t>99+300</t>
  </si>
  <si>
    <t>99+400</t>
  </si>
  <si>
    <t>99+500</t>
  </si>
  <si>
    <t>99+600</t>
  </si>
  <si>
    <t>99+700</t>
  </si>
  <si>
    <t>99+800</t>
  </si>
  <si>
    <t>99+900</t>
  </si>
  <si>
    <t>100+000</t>
  </si>
  <si>
    <t>100+100</t>
  </si>
  <si>
    <t>100+200</t>
  </si>
  <si>
    <t>100+300</t>
  </si>
  <si>
    <t>100+400</t>
  </si>
  <si>
    <t>100+500</t>
  </si>
  <si>
    <t>100+600</t>
  </si>
  <si>
    <t>100+700</t>
  </si>
  <si>
    <t>100+800</t>
  </si>
  <si>
    <t>100+900</t>
  </si>
  <si>
    <t>101+000</t>
  </si>
  <si>
    <t>101+100</t>
  </si>
  <si>
    <t>101+200</t>
  </si>
  <si>
    <t>101+300</t>
  </si>
  <si>
    <t>101+400</t>
  </si>
  <si>
    <t>101+500</t>
  </si>
  <si>
    <t>101+600</t>
  </si>
  <si>
    <t>101+700</t>
  </si>
  <si>
    <t>101+800</t>
  </si>
  <si>
    <t>101+900</t>
  </si>
  <si>
    <t>102+000</t>
  </si>
  <si>
    <t>102+100</t>
  </si>
  <si>
    <t>102+200</t>
  </si>
  <si>
    <t>102+300</t>
  </si>
  <si>
    <t>102+400</t>
  </si>
  <si>
    <t>102+500</t>
  </si>
  <si>
    <t>102+600</t>
  </si>
  <si>
    <t>102+700</t>
  </si>
  <si>
    <t>102+800</t>
  </si>
  <si>
    <t>102+900</t>
  </si>
  <si>
    <t>103+000</t>
  </si>
  <si>
    <t>103+100</t>
  </si>
  <si>
    <t>103+200</t>
  </si>
  <si>
    <t>103+300</t>
  </si>
  <si>
    <t>103+400</t>
  </si>
  <si>
    <t>103+500</t>
  </si>
  <si>
    <t>103+600</t>
  </si>
  <si>
    <t>103+700</t>
  </si>
  <si>
    <t>103+800</t>
  </si>
  <si>
    <t>103+900</t>
  </si>
  <si>
    <t>104+000</t>
  </si>
  <si>
    <t>104+100</t>
  </si>
  <si>
    <t>104+200</t>
  </si>
  <si>
    <t>104+300</t>
  </si>
  <si>
    <t>104+400</t>
  </si>
  <si>
    <t>104+500</t>
  </si>
  <si>
    <t>104+600</t>
  </si>
  <si>
    <t>104+700</t>
  </si>
  <si>
    <t>104+800</t>
  </si>
  <si>
    <t>104+900</t>
  </si>
  <si>
    <t>105+000</t>
  </si>
  <si>
    <t>105+100</t>
  </si>
  <si>
    <t>105+200</t>
  </si>
  <si>
    <t>105+300</t>
  </si>
  <si>
    <t>105+400</t>
  </si>
  <si>
    <t>105+500</t>
  </si>
  <si>
    <t>105+600</t>
  </si>
  <si>
    <t>105+700</t>
  </si>
  <si>
    <t>105+800</t>
  </si>
  <si>
    <t>105+900</t>
  </si>
  <si>
    <t>106+000</t>
  </si>
  <si>
    <t>106+100</t>
  </si>
  <si>
    <t>106+200</t>
  </si>
  <si>
    <t>106+300</t>
  </si>
  <si>
    <t>106+400</t>
  </si>
  <si>
    <t>106+500</t>
  </si>
  <si>
    <t>106+600</t>
  </si>
  <si>
    <t>106+700</t>
  </si>
  <si>
    <t>106+800</t>
  </si>
  <si>
    <t>106+900</t>
  </si>
  <si>
    <t>107+000</t>
  </si>
  <si>
    <t>107+100</t>
  </si>
  <si>
    <t>107+200</t>
  </si>
  <si>
    <t>107+300</t>
  </si>
  <si>
    <t>107+400</t>
  </si>
  <si>
    <t>107+500</t>
  </si>
  <si>
    <t>107+600</t>
  </si>
  <si>
    <t>107+700</t>
  </si>
  <si>
    <t>107+800</t>
  </si>
  <si>
    <t>107+900</t>
  </si>
  <si>
    <t>108+000</t>
  </si>
  <si>
    <t>108+100</t>
  </si>
  <si>
    <t>108+200</t>
  </si>
  <si>
    <t>108+300</t>
  </si>
  <si>
    <t>108+400</t>
  </si>
  <si>
    <t>108+500</t>
  </si>
  <si>
    <t>108+600</t>
  </si>
  <si>
    <t>108+700</t>
  </si>
  <si>
    <t>108+800</t>
  </si>
  <si>
    <t>108+900</t>
  </si>
  <si>
    <t>109+000</t>
  </si>
  <si>
    <t>109+100</t>
  </si>
  <si>
    <t>109+200</t>
  </si>
  <si>
    <t>109+300</t>
  </si>
  <si>
    <t>109+400</t>
  </si>
  <si>
    <t>109+500</t>
  </si>
  <si>
    <t>109+600</t>
  </si>
  <si>
    <t>109+700</t>
  </si>
  <si>
    <t>109+800</t>
  </si>
  <si>
    <t>109+900</t>
  </si>
  <si>
    <t>110+000</t>
  </si>
  <si>
    <t>110+100</t>
  </si>
  <si>
    <t>110+200</t>
  </si>
  <si>
    <t>110+300</t>
  </si>
  <si>
    <t>110+400</t>
  </si>
  <si>
    <t>110+500</t>
  </si>
  <si>
    <t>110+600</t>
  </si>
  <si>
    <t>110+700</t>
  </si>
  <si>
    <t>110+800</t>
  </si>
  <si>
    <t>110+900</t>
  </si>
  <si>
    <t>111+000</t>
  </si>
  <si>
    <t>111+100</t>
  </si>
  <si>
    <t>111+200</t>
  </si>
  <si>
    <t>111+300</t>
  </si>
  <si>
    <t>111+400</t>
  </si>
  <si>
    <t>111+500</t>
  </si>
  <si>
    <t>111+600</t>
  </si>
  <si>
    <t>111+700</t>
  </si>
  <si>
    <t>111+800</t>
  </si>
  <si>
    <t>111+900</t>
  </si>
  <si>
    <t>112+000</t>
  </si>
  <si>
    <t>112+100</t>
  </si>
  <si>
    <t>112+200</t>
  </si>
  <si>
    <t>112+300</t>
  </si>
  <si>
    <t>112+400</t>
  </si>
  <si>
    <t>112+500</t>
  </si>
  <si>
    <t>112+600</t>
  </si>
  <si>
    <t>112+700</t>
  </si>
  <si>
    <t>112+800</t>
  </si>
  <si>
    <t>112+900</t>
  </si>
  <si>
    <t>113+000</t>
  </si>
  <si>
    <t>113+100</t>
  </si>
  <si>
    <t>113+200</t>
  </si>
  <si>
    <t>113+300</t>
  </si>
  <si>
    <t>113+400</t>
  </si>
  <si>
    <t>113+500</t>
  </si>
  <si>
    <t>113+600</t>
  </si>
  <si>
    <t>113+700</t>
  </si>
  <si>
    <t>113+800</t>
  </si>
  <si>
    <t>113+900</t>
  </si>
  <si>
    <t>114+000</t>
  </si>
  <si>
    <t>114+100</t>
  </si>
  <si>
    <t>114+200</t>
  </si>
  <si>
    <t>114+300</t>
  </si>
  <si>
    <t>114+400</t>
  </si>
  <si>
    <t>114+500</t>
  </si>
  <si>
    <t>114+600</t>
  </si>
  <si>
    <t>114+700</t>
  </si>
  <si>
    <t>114+800</t>
  </si>
  <si>
    <t>114+900</t>
  </si>
  <si>
    <t>115+000</t>
  </si>
  <si>
    <t>115+100</t>
  </si>
  <si>
    <t>115+200</t>
  </si>
  <si>
    <t>115+300</t>
  </si>
  <si>
    <t>115+400</t>
  </si>
  <si>
    <t>115+500</t>
  </si>
  <si>
    <t>115+600</t>
  </si>
  <si>
    <t>115+700</t>
  </si>
  <si>
    <t>115+800</t>
  </si>
  <si>
    <t>115+900</t>
  </si>
  <si>
    <t>116+000</t>
  </si>
  <si>
    <t>116+100</t>
  </si>
  <si>
    <t>116+200</t>
  </si>
  <si>
    <t>116+300</t>
  </si>
  <si>
    <t>116+400</t>
  </si>
  <si>
    <t>116+500</t>
  </si>
  <si>
    <t>116+600</t>
  </si>
  <si>
    <t>116+700</t>
  </si>
  <si>
    <t>116+800</t>
  </si>
  <si>
    <t>116+900</t>
  </si>
  <si>
    <t>117+000</t>
  </si>
  <si>
    <t>117+100</t>
  </si>
  <si>
    <t>117+200</t>
  </si>
  <si>
    <t>117+300</t>
  </si>
  <si>
    <t>117+400</t>
  </si>
  <si>
    <t>117+500</t>
  </si>
  <si>
    <t>117+600</t>
  </si>
  <si>
    <t>117+700</t>
  </si>
  <si>
    <t>117+800</t>
  </si>
  <si>
    <t>117+900</t>
  </si>
  <si>
    <t>118+000</t>
  </si>
  <si>
    <t>118+100</t>
  </si>
  <si>
    <t>118+200</t>
  </si>
  <si>
    <t>118+300</t>
  </si>
  <si>
    <t>118+400</t>
  </si>
  <si>
    <t>118+500</t>
  </si>
  <si>
    <t>118+600</t>
  </si>
  <si>
    <t>118+700</t>
  </si>
  <si>
    <t>118+800</t>
  </si>
  <si>
    <t>118+900</t>
  </si>
  <si>
    <t>119+000</t>
  </si>
  <si>
    <t>119+100</t>
  </si>
  <si>
    <t>119+200</t>
  </si>
  <si>
    <t>119+300</t>
  </si>
  <si>
    <t>119+400</t>
  </si>
  <si>
    <t>119+500</t>
  </si>
  <si>
    <t>119+600</t>
  </si>
  <si>
    <t>119+700</t>
  </si>
  <si>
    <t>119+800</t>
  </si>
  <si>
    <t>119+900</t>
  </si>
  <si>
    <t>120+000</t>
  </si>
  <si>
    <t>120+100</t>
  </si>
  <si>
    <t>120+200</t>
  </si>
  <si>
    <t>120+300</t>
  </si>
  <si>
    <t>120+400</t>
  </si>
  <si>
    <t>120+500</t>
  </si>
  <si>
    <t>120+600</t>
  </si>
  <si>
    <t>120+700</t>
  </si>
  <si>
    <t>120+800</t>
  </si>
  <si>
    <t>120+900</t>
  </si>
  <si>
    <t>121+000</t>
  </si>
  <si>
    <t>121+100</t>
  </si>
  <si>
    <t>121+200</t>
  </si>
  <si>
    <t>121+300</t>
  </si>
  <si>
    <t>121+400</t>
  </si>
  <si>
    <t>121+500</t>
  </si>
  <si>
    <t>121+600</t>
  </si>
  <si>
    <t>121+700</t>
  </si>
  <si>
    <t>121+800</t>
  </si>
  <si>
    <t>121+900</t>
  </si>
  <si>
    <t>122+000</t>
  </si>
  <si>
    <t>122+100</t>
  </si>
  <si>
    <t>122+200</t>
  </si>
  <si>
    <t>122+300</t>
  </si>
  <si>
    <t>122+400</t>
  </si>
  <si>
    <t>122+500</t>
  </si>
  <si>
    <t>122+600</t>
  </si>
  <si>
    <t>122+700</t>
  </si>
  <si>
    <t>122+800</t>
  </si>
  <si>
    <t>122+900</t>
  </si>
  <si>
    <t>123+000</t>
  </si>
  <si>
    <t>123+100</t>
  </si>
  <si>
    <t>123+200</t>
  </si>
  <si>
    <t>123+300</t>
  </si>
  <si>
    <t>123+400</t>
  </si>
  <si>
    <t>123+500</t>
  </si>
  <si>
    <t>123+600</t>
  </si>
  <si>
    <t>123+700</t>
  </si>
  <si>
    <t>123+800</t>
  </si>
  <si>
    <t>123+900</t>
  </si>
  <si>
    <t>124+000</t>
  </si>
  <si>
    <t>124+100</t>
  </si>
  <si>
    <t>124+200</t>
  </si>
  <si>
    <t>124+300</t>
  </si>
  <si>
    <t>124+400</t>
  </si>
  <si>
    <t>124+500</t>
  </si>
  <si>
    <t>124+600</t>
  </si>
  <si>
    <t>124+700</t>
  </si>
  <si>
    <t>124+800</t>
  </si>
  <si>
    <t>124+900</t>
  </si>
  <si>
    <t>125+000</t>
  </si>
  <si>
    <t>125+100</t>
  </si>
  <si>
    <t>125+200</t>
  </si>
  <si>
    <t>125+300</t>
  </si>
  <si>
    <t>125+400</t>
  </si>
  <si>
    <t>125+500</t>
  </si>
  <si>
    <t>125+600</t>
  </si>
  <si>
    <t>125+700</t>
  </si>
  <si>
    <t>125+800</t>
  </si>
  <si>
    <t>125+900</t>
  </si>
  <si>
    <t>126+000</t>
  </si>
  <si>
    <t>126+100</t>
  </si>
  <si>
    <t>126+200</t>
  </si>
  <si>
    <t>126+300</t>
  </si>
  <si>
    <t>126+400</t>
  </si>
  <si>
    <t>126+500</t>
  </si>
  <si>
    <t>126+600</t>
  </si>
  <si>
    <t>126+700</t>
  </si>
  <si>
    <t>126+800</t>
  </si>
  <si>
    <t>126+900</t>
  </si>
  <si>
    <t>127+000</t>
  </si>
  <si>
    <t>127+100</t>
  </si>
  <si>
    <t>127+200</t>
  </si>
  <si>
    <t>127+300</t>
  </si>
  <si>
    <t>127+400</t>
  </si>
  <si>
    <t>127+500</t>
  </si>
  <si>
    <t>127+600</t>
  </si>
  <si>
    <t>127+700</t>
  </si>
  <si>
    <t>127+800</t>
  </si>
  <si>
    <t>127+900</t>
  </si>
  <si>
    <t>128+000</t>
  </si>
  <si>
    <t>128+100</t>
  </si>
  <si>
    <t>128+200</t>
  </si>
  <si>
    <t>128+300</t>
  </si>
  <si>
    <t>128+400</t>
  </si>
  <si>
    <t>128+500</t>
  </si>
  <si>
    <t>128+600</t>
  </si>
  <si>
    <t>128+700</t>
  </si>
  <si>
    <t>128+800</t>
  </si>
  <si>
    <t>128+900</t>
  </si>
  <si>
    <t>129+000</t>
  </si>
  <si>
    <t>129+100</t>
  </si>
  <si>
    <t>129+200</t>
  </si>
  <si>
    <t>129+300</t>
  </si>
  <si>
    <t>129+400</t>
  </si>
  <si>
    <t>129+500</t>
  </si>
  <si>
    <t>129+600</t>
  </si>
  <si>
    <t>129+700</t>
  </si>
  <si>
    <t>129+800</t>
  </si>
  <si>
    <t>129+900</t>
  </si>
  <si>
    <t>130+000</t>
  </si>
  <si>
    <t>130+100</t>
  </si>
  <si>
    <t>130+200</t>
  </si>
  <si>
    <t>130+300</t>
  </si>
  <si>
    <t>130+400</t>
  </si>
  <si>
    <t>130+500</t>
  </si>
  <si>
    <t>130+600</t>
  </si>
  <si>
    <t>130+700</t>
  </si>
  <si>
    <t>130+800</t>
  </si>
  <si>
    <t>130+900</t>
  </si>
  <si>
    <t>131+000</t>
  </si>
  <si>
    <t>131+100</t>
  </si>
  <si>
    <t>131+200</t>
  </si>
  <si>
    <t>131+300</t>
  </si>
  <si>
    <t>131+400</t>
  </si>
  <si>
    <t>131+500</t>
  </si>
  <si>
    <t>131+600</t>
  </si>
  <si>
    <t>131+700</t>
  </si>
  <si>
    <t>131+800</t>
  </si>
  <si>
    <t>131+900</t>
  </si>
  <si>
    <t>132+000</t>
  </si>
  <si>
    <t>132+100</t>
  </si>
  <si>
    <t>132+200</t>
  </si>
  <si>
    <t>132+300</t>
  </si>
  <si>
    <t>132+400</t>
  </si>
  <si>
    <t>132+500</t>
  </si>
  <si>
    <t>132+600</t>
  </si>
  <si>
    <t>132+700</t>
  </si>
  <si>
    <t>132+800</t>
  </si>
  <si>
    <t>132+900</t>
  </si>
  <si>
    <t>133+000</t>
  </si>
  <si>
    <t>133+100</t>
  </si>
  <si>
    <t>133+200</t>
  </si>
  <si>
    <t>133+300</t>
  </si>
  <si>
    <t>133+400</t>
  </si>
  <si>
    <t>133+500</t>
  </si>
  <si>
    <t>133+600</t>
  </si>
  <si>
    <t>133+700</t>
  </si>
  <si>
    <t>133+800</t>
  </si>
  <si>
    <t>133+900</t>
  </si>
  <si>
    <t>134+000</t>
  </si>
  <si>
    <t>134+100</t>
  </si>
  <si>
    <t>134+200</t>
  </si>
  <si>
    <t>134+300</t>
  </si>
  <si>
    <t>134+400</t>
  </si>
  <si>
    <t>134+500</t>
  </si>
  <si>
    <t>134+600</t>
  </si>
  <si>
    <t>134+700</t>
  </si>
  <si>
    <t>134+800</t>
  </si>
  <si>
    <t>134+900</t>
  </si>
  <si>
    <t>135+000</t>
  </si>
  <si>
    <t>القطاع الرابع شركة الرواد</t>
  </si>
  <si>
    <t>180+000</t>
  </si>
  <si>
    <t>180+100</t>
  </si>
  <si>
    <t>180+200</t>
  </si>
  <si>
    <t>180+300</t>
  </si>
  <si>
    <t>180+400</t>
  </si>
  <si>
    <t>180+500</t>
  </si>
  <si>
    <t>180+600</t>
  </si>
  <si>
    <t>180+700</t>
  </si>
  <si>
    <t>180+800</t>
  </si>
  <si>
    <t>180+900</t>
  </si>
  <si>
    <t>181+000</t>
  </si>
  <si>
    <t>181+100</t>
  </si>
  <si>
    <t>181+200</t>
  </si>
  <si>
    <t>181+300</t>
  </si>
  <si>
    <t>181+400</t>
  </si>
  <si>
    <t>181+500</t>
  </si>
  <si>
    <t>181+600</t>
  </si>
  <si>
    <t>181+700</t>
  </si>
  <si>
    <t>181+800</t>
  </si>
  <si>
    <t>181+900</t>
  </si>
  <si>
    <t>182+000</t>
  </si>
  <si>
    <t>182+100</t>
  </si>
  <si>
    <t>182+200</t>
  </si>
  <si>
    <t>182+300</t>
  </si>
  <si>
    <t>182+400</t>
  </si>
  <si>
    <t>182+500</t>
  </si>
  <si>
    <t>182+600</t>
  </si>
  <si>
    <t>182+700</t>
  </si>
  <si>
    <t>182+800</t>
  </si>
  <si>
    <t>182+900</t>
  </si>
  <si>
    <t>183+000</t>
  </si>
  <si>
    <t>183+100</t>
  </si>
  <si>
    <t>183+200</t>
  </si>
  <si>
    <t>183+300</t>
  </si>
  <si>
    <t>183+400</t>
  </si>
  <si>
    <t>183+500</t>
  </si>
  <si>
    <t>183+600</t>
  </si>
  <si>
    <t>183+700</t>
  </si>
  <si>
    <t>183+800</t>
  </si>
  <si>
    <t>183+900</t>
  </si>
  <si>
    <t>184+000</t>
  </si>
  <si>
    <t>184+100</t>
  </si>
  <si>
    <t>184+200</t>
  </si>
  <si>
    <t>184+300</t>
  </si>
  <si>
    <t>184+400</t>
  </si>
  <si>
    <t>184+500</t>
  </si>
  <si>
    <t>184+600</t>
  </si>
  <si>
    <t>184+700</t>
  </si>
  <si>
    <t>184+800</t>
  </si>
  <si>
    <t>184+900</t>
  </si>
  <si>
    <t>185+000</t>
  </si>
  <si>
    <t>185+100</t>
  </si>
  <si>
    <t>185+200</t>
  </si>
  <si>
    <t>185+300</t>
  </si>
  <si>
    <t>185+400</t>
  </si>
  <si>
    <t>185+500</t>
  </si>
  <si>
    <t>185+600</t>
  </si>
  <si>
    <t>185+700</t>
  </si>
  <si>
    <t>185+800</t>
  </si>
  <si>
    <t>185+900</t>
  </si>
  <si>
    <t>186+000</t>
  </si>
  <si>
    <t>186+100</t>
  </si>
  <si>
    <t>186+200</t>
  </si>
  <si>
    <t>186+300</t>
  </si>
  <si>
    <t>186+400</t>
  </si>
  <si>
    <t>186+500</t>
  </si>
  <si>
    <t>186+600</t>
  </si>
  <si>
    <t>186+700</t>
  </si>
  <si>
    <t>186+800</t>
  </si>
  <si>
    <t>186+900</t>
  </si>
  <si>
    <t>187+000</t>
  </si>
  <si>
    <t>187+100</t>
  </si>
  <si>
    <t>187+200</t>
  </si>
  <si>
    <t>187+300</t>
  </si>
  <si>
    <t>187+400</t>
  </si>
  <si>
    <t>187+500</t>
  </si>
  <si>
    <t>187+600</t>
  </si>
  <si>
    <t>187+700</t>
  </si>
  <si>
    <t>187+800</t>
  </si>
  <si>
    <t>187+900</t>
  </si>
  <si>
    <t>188+000</t>
  </si>
  <si>
    <t>188+100</t>
  </si>
  <si>
    <t>188+200</t>
  </si>
  <si>
    <t>188+300</t>
  </si>
  <si>
    <t>188+400</t>
  </si>
  <si>
    <t>188+500</t>
  </si>
  <si>
    <t>188+600</t>
  </si>
  <si>
    <t>188+700</t>
  </si>
  <si>
    <t>188+800</t>
  </si>
  <si>
    <t>188+900</t>
  </si>
  <si>
    <t>189+000</t>
  </si>
  <si>
    <t>189+100</t>
  </si>
  <si>
    <t>189+200</t>
  </si>
  <si>
    <t>189+300</t>
  </si>
  <si>
    <t>189+400</t>
  </si>
  <si>
    <t>189+500</t>
  </si>
  <si>
    <t>189+600</t>
  </si>
  <si>
    <t>189+700</t>
  </si>
  <si>
    <t>189+800</t>
  </si>
  <si>
    <t>189+900</t>
  </si>
  <si>
    <t>190+000</t>
  </si>
  <si>
    <t>190+100</t>
  </si>
  <si>
    <t>190+200</t>
  </si>
  <si>
    <t>190+300</t>
  </si>
  <si>
    <t>190+400</t>
  </si>
  <si>
    <t>190+500</t>
  </si>
  <si>
    <t>190+600</t>
  </si>
  <si>
    <t>190+700</t>
  </si>
  <si>
    <t>190+800</t>
  </si>
  <si>
    <t>190+900</t>
  </si>
  <si>
    <t>191+000</t>
  </si>
  <si>
    <t>191+100</t>
  </si>
  <si>
    <t>191+200</t>
  </si>
  <si>
    <t>191+300</t>
  </si>
  <si>
    <t>191+400</t>
  </si>
  <si>
    <t>191+500</t>
  </si>
  <si>
    <t>191+600</t>
  </si>
  <si>
    <t>191+700</t>
  </si>
  <si>
    <t>191+800</t>
  </si>
  <si>
    <t>191+900</t>
  </si>
  <si>
    <t>192+000</t>
  </si>
  <si>
    <t>192+100</t>
  </si>
  <si>
    <t>192+200</t>
  </si>
  <si>
    <t>192+300</t>
  </si>
  <si>
    <t>192+400</t>
  </si>
  <si>
    <t>192+500</t>
  </si>
  <si>
    <t>192+600</t>
  </si>
  <si>
    <t>192+700</t>
  </si>
  <si>
    <t>192+800</t>
  </si>
  <si>
    <t>192+900</t>
  </si>
  <si>
    <t>193+000</t>
  </si>
  <si>
    <t>193+100</t>
  </si>
  <si>
    <t>193+200</t>
  </si>
  <si>
    <t>193+300</t>
  </si>
  <si>
    <t>193+400</t>
  </si>
  <si>
    <t>193+500</t>
  </si>
  <si>
    <t>193+600</t>
  </si>
  <si>
    <t>193+700</t>
  </si>
  <si>
    <t>193+800</t>
  </si>
  <si>
    <t>193+900</t>
  </si>
  <si>
    <t>194+000</t>
  </si>
  <si>
    <t>194+100</t>
  </si>
  <si>
    <t>194+200</t>
  </si>
  <si>
    <t>194+300</t>
  </si>
  <si>
    <t>194+400</t>
  </si>
  <si>
    <t>194+500</t>
  </si>
  <si>
    <t>194+600</t>
  </si>
  <si>
    <t>194+700</t>
  </si>
  <si>
    <t>194+800</t>
  </si>
  <si>
    <t>194+900</t>
  </si>
  <si>
    <t>195+000</t>
  </si>
  <si>
    <t>195+100</t>
  </si>
  <si>
    <t>195+200</t>
  </si>
  <si>
    <t>195+300</t>
  </si>
  <si>
    <t>195+400</t>
  </si>
  <si>
    <t>195+500</t>
  </si>
  <si>
    <t>195+600</t>
  </si>
  <si>
    <t>195+700</t>
  </si>
  <si>
    <t>195+800</t>
  </si>
  <si>
    <t>195+900</t>
  </si>
  <si>
    <t>196+000</t>
  </si>
  <si>
    <t>196+100</t>
  </si>
  <si>
    <t>196+200</t>
  </si>
  <si>
    <t>196+300</t>
  </si>
  <si>
    <t>196+400</t>
  </si>
  <si>
    <t>196+500</t>
  </si>
  <si>
    <t>196+600</t>
  </si>
  <si>
    <t>196+700</t>
  </si>
  <si>
    <t>196+800</t>
  </si>
  <si>
    <t>196+900</t>
  </si>
  <si>
    <t>197+000</t>
  </si>
  <si>
    <t>197+100</t>
  </si>
  <si>
    <t>197+200</t>
  </si>
  <si>
    <t>197+300</t>
  </si>
  <si>
    <t>197+400</t>
  </si>
  <si>
    <t>197+500</t>
  </si>
  <si>
    <t>197+600</t>
  </si>
  <si>
    <t>197+700</t>
  </si>
  <si>
    <t>197+800</t>
  </si>
  <si>
    <t>197+900</t>
  </si>
  <si>
    <t>198+000</t>
  </si>
  <si>
    <t>198+100</t>
  </si>
  <si>
    <t>198+200</t>
  </si>
  <si>
    <t>198+300</t>
  </si>
  <si>
    <t>198+400</t>
  </si>
  <si>
    <t>198+500</t>
  </si>
  <si>
    <t>198+600</t>
  </si>
  <si>
    <t>198+700</t>
  </si>
  <si>
    <t>198+800</t>
  </si>
  <si>
    <t>198+900</t>
  </si>
  <si>
    <t>199+000</t>
  </si>
  <si>
    <t>199+100</t>
  </si>
  <si>
    <t>199+200</t>
  </si>
  <si>
    <t>199+300</t>
  </si>
  <si>
    <t>199+400</t>
  </si>
  <si>
    <t>199+500</t>
  </si>
  <si>
    <t>199+600</t>
  </si>
  <si>
    <t>199+700</t>
  </si>
  <si>
    <t>199+800</t>
  </si>
  <si>
    <t>199+900</t>
  </si>
  <si>
    <t>200+000</t>
  </si>
  <si>
    <t>200+100</t>
  </si>
  <si>
    <t>200+200</t>
  </si>
  <si>
    <t>200+300</t>
  </si>
  <si>
    <t>200+400</t>
  </si>
  <si>
    <t>200+500</t>
  </si>
  <si>
    <t>200+600</t>
  </si>
  <si>
    <t>200+700</t>
  </si>
  <si>
    <t>200+800</t>
  </si>
  <si>
    <t>200+900</t>
  </si>
  <si>
    <t>201+000</t>
  </si>
  <si>
    <t>201+100</t>
  </si>
  <si>
    <t>201+200</t>
  </si>
  <si>
    <t>201+300</t>
  </si>
  <si>
    <t>201+400</t>
  </si>
  <si>
    <t>201+500</t>
  </si>
  <si>
    <t>201+600</t>
  </si>
  <si>
    <t>201+700</t>
  </si>
  <si>
    <t>201+800</t>
  </si>
  <si>
    <t>201+900</t>
  </si>
  <si>
    <t>202+000</t>
  </si>
  <si>
    <t>202+100</t>
  </si>
  <si>
    <t>202+200</t>
  </si>
  <si>
    <t>202+300</t>
  </si>
  <si>
    <t>202+400</t>
  </si>
  <si>
    <t>202+500</t>
  </si>
  <si>
    <t>202+600</t>
  </si>
  <si>
    <t>202+700</t>
  </si>
  <si>
    <t>202+800</t>
  </si>
  <si>
    <t>202+900</t>
  </si>
  <si>
    <t>203+000</t>
  </si>
  <si>
    <t>203+100</t>
  </si>
  <si>
    <t>203+200</t>
  </si>
  <si>
    <t>203+300</t>
  </si>
  <si>
    <t>203+400</t>
  </si>
  <si>
    <t>203+500</t>
  </si>
  <si>
    <t>203+600</t>
  </si>
  <si>
    <t>203+700</t>
  </si>
  <si>
    <t>203+800</t>
  </si>
  <si>
    <t>203+900</t>
  </si>
  <si>
    <t>204+000</t>
  </si>
  <si>
    <t>204+100</t>
  </si>
  <si>
    <t>204+200</t>
  </si>
  <si>
    <t>204+300</t>
  </si>
  <si>
    <t>204+400</t>
  </si>
  <si>
    <t>204+500</t>
  </si>
  <si>
    <t>204+600</t>
  </si>
  <si>
    <t>204+700</t>
  </si>
  <si>
    <t>204+800</t>
  </si>
  <si>
    <t>204+900</t>
  </si>
  <si>
    <t>205+000</t>
  </si>
  <si>
    <t>205+100</t>
  </si>
  <si>
    <t>205+200</t>
  </si>
  <si>
    <t>205+300</t>
  </si>
  <si>
    <t>205+400</t>
  </si>
  <si>
    <t>205+500</t>
  </si>
  <si>
    <t>205+600</t>
  </si>
  <si>
    <t>205+700</t>
  </si>
  <si>
    <t>205+800</t>
  </si>
  <si>
    <t>205+900</t>
  </si>
  <si>
    <t>206+000</t>
  </si>
  <si>
    <t>206+100</t>
  </si>
  <si>
    <t>206+200</t>
  </si>
  <si>
    <t>206+300</t>
  </si>
  <si>
    <t>206+400</t>
  </si>
  <si>
    <t>206+500</t>
  </si>
  <si>
    <t>206+600</t>
  </si>
  <si>
    <t>206+700</t>
  </si>
  <si>
    <t>206+800</t>
  </si>
  <si>
    <t>206+900</t>
  </si>
  <si>
    <t>207+000</t>
  </si>
  <si>
    <t>207+100</t>
  </si>
  <si>
    <t>207+200</t>
  </si>
  <si>
    <t>207+300</t>
  </si>
  <si>
    <t>207+400</t>
  </si>
  <si>
    <t>207+500</t>
  </si>
  <si>
    <t>207+600</t>
  </si>
  <si>
    <t>207+700</t>
  </si>
  <si>
    <t>207+800</t>
  </si>
  <si>
    <t>207+900</t>
  </si>
  <si>
    <t>208+000</t>
  </si>
  <si>
    <t>208+100</t>
  </si>
  <si>
    <t>208+200</t>
  </si>
  <si>
    <t>208+300</t>
  </si>
  <si>
    <t>208+400</t>
  </si>
  <si>
    <t>208+500</t>
  </si>
  <si>
    <t>208+600</t>
  </si>
  <si>
    <t>208+700</t>
  </si>
  <si>
    <t>208+800</t>
  </si>
  <si>
    <t>208+900</t>
  </si>
  <si>
    <t>209+000</t>
  </si>
  <si>
    <t>209+100</t>
  </si>
  <si>
    <t>209+200</t>
  </si>
  <si>
    <t>209+300</t>
  </si>
  <si>
    <t>209+400</t>
  </si>
  <si>
    <t>209+500</t>
  </si>
  <si>
    <t>209+600</t>
  </si>
  <si>
    <t>209+700</t>
  </si>
  <si>
    <t>209+800</t>
  </si>
  <si>
    <t>209+900</t>
  </si>
  <si>
    <t>210+000</t>
  </si>
  <si>
    <t>210+100</t>
  </si>
  <si>
    <t>210+200</t>
  </si>
  <si>
    <t>210+300</t>
  </si>
  <si>
    <t>210+400</t>
  </si>
  <si>
    <t>210+500</t>
  </si>
  <si>
    <t>210+600</t>
  </si>
  <si>
    <t>210+700</t>
  </si>
  <si>
    <t>210+800</t>
  </si>
  <si>
    <t>210+900</t>
  </si>
  <si>
    <t>211+000</t>
  </si>
  <si>
    <t>211+100</t>
  </si>
  <si>
    <t>211+200</t>
  </si>
  <si>
    <t>211+300</t>
  </si>
  <si>
    <t>211+400</t>
  </si>
  <si>
    <t>211+500</t>
  </si>
  <si>
    <t>211+600</t>
  </si>
  <si>
    <t>211+700</t>
  </si>
  <si>
    <t>211+800</t>
  </si>
  <si>
    <t>211+900</t>
  </si>
  <si>
    <t>212+000</t>
  </si>
  <si>
    <t>212+100</t>
  </si>
  <si>
    <t>212+200</t>
  </si>
  <si>
    <t>212+300</t>
  </si>
  <si>
    <t>212+400</t>
  </si>
  <si>
    <t>212+500</t>
  </si>
  <si>
    <t>212+600</t>
  </si>
  <si>
    <t>212+700</t>
  </si>
  <si>
    <t>212+800</t>
  </si>
  <si>
    <t>212+900</t>
  </si>
  <si>
    <t>213+000</t>
  </si>
  <si>
    <t>213+100</t>
  </si>
  <si>
    <t>213+200</t>
  </si>
  <si>
    <t>213+300</t>
  </si>
  <si>
    <t>213+400</t>
  </si>
  <si>
    <t>213+500</t>
  </si>
  <si>
    <t>213+600</t>
  </si>
  <si>
    <t>213+700</t>
  </si>
  <si>
    <t>213+800</t>
  </si>
  <si>
    <t>213+900</t>
  </si>
  <si>
    <t>214+000</t>
  </si>
  <si>
    <t>214+100</t>
  </si>
  <si>
    <t>214+200</t>
  </si>
  <si>
    <t>214+300</t>
  </si>
  <si>
    <t>214+400</t>
  </si>
  <si>
    <t>214+500</t>
  </si>
  <si>
    <t>214+600</t>
  </si>
  <si>
    <t>214+700</t>
  </si>
  <si>
    <t>214+800</t>
  </si>
  <si>
    <t>214+900</t>
  </si>
  <si>
    <t>215+000</t>
  </si>
  <si>
    <t>215+100</t>
  </si>
  <si>
    <t>215+200</t>
  </si>
  <si>
    <t>215+300</t>
  </si>
  <si>
    <t>215+400</t>
  </si>
  <si>
    <t>215+500</t>
  </si>
  <si>
    <t>215+600</t>
  </si>
  <si>
    <t>215+700</t>
  </si>
  <si>
    <t>215+800</t>
  </si>
  <si>
    <t>215+900</t>
  </si>
  <si>
    <t>216+000</t>
  </si>
  <si>
    <t>216+100</t>
  </si>
  <si>
    <t>216+200</t>
  </si>
  <si>
    <t>216+300</t>
  </si>
  <si>
    <t>216+400</t>
  </si>
  <si>
    <t>216+500</t>
  </si>
  <si>
    <t>216+600</t>
  </si>
  <si>
    <t>216+700</t>
  </si>
  <si>
    <t>216+800</t>
  </si>
  <si>
    <t>216+900</t>
  </si>
  <si>
    <t>217+000</t>
  </si>
  <si>
    <t>217+100</t>
  </si>
  <si>
    <t>217+200</t>
  </si>
  <si>
    <t>217+300</t>
  </si>
  <si>
    <t>217+400</t>
  </si>
  <si>
    <t>217+500</t>
  </si>
  <si>
    <t>217+600</t>
  </si>
  <si>
    <t>217+700</t>
  </si>
  <si>
    <t>217+800</t>
  </si>
  <si>
    <t>217+900</t>
  </si>
  <si>
    <t>218+000</t>
  </si>
  <si>
    <t>218+100</t>
  </si>
  <si>
    <t>218+200</t>
  </si>
  <si>
    <t>218+300</t>
  </si>
  <si>
    <t>218+400</t>
  </si>
  <si>
    <t>218+500</t>
  </si>
  <si>
    <t>218+600</t>
  </si>
  <si>
    <t>218+700</t>
  </si>
  <si>
    <t>218+800</t>
  </si>
  <si>
    <t>218+900</t>
  </si>
  <si>
    <t>219+000</t>
  </si>
  <si>
    <t>219+100</t>
  </si>
  <si>
    <t>219+200</t>
  </si>
  <si>
    <t>219+300</t>
  </si>
  <si>
    <t>219+400</t>
  </si>
  <si>
    <t>219+500</t>
  </si>
  <si>
    <t>219+600</t>
  </si>
  <si>
    <t>219+700</t>
  </si>
  <si>
    <t>219+800</t>
  </si>
  <si>
    <t>219+900</t>
  </si>
  <si>
    <t>220+000</t>
  </si>
  <si>
    <t>220+100</t>
  </si>
  <si>
    <t>220+200</t>
  </si>
  <si>
    <t>220+300</t>
  </si>
  <si>
    <t>220+400</t>
  </si>
  <si>
    <t>220+500</t>
  </si>
  <si>
    <t>220+600</t>
  </si>
  <si>
    <t>220+700</t>
  </si>
  <si>
    <t>220+800</t>
  </si>
  <si>
    <t>220+900</t>
  </si>
  <si>
    <t>221+000</t>
  </si>
  <si>
    <t>221+100</t>
  </si>
  <si>
    <t>221+200</t>
  </si>
  <si>
    <t>221+300</t>
  </si>
  <si>
    <t>221+400</t>
  </si>
  <si>
    <t>221+500</t>
  </si>
  <si>
    <t>221+600</t>
  </si>
  <si>
    <t>221+700</t>
  </si>
  <si>
    <t>221+800</t>
  </si>
  <si>
    <t>221+900</t>
  </si>
  <si>
    <t>222+000</t>
  </si>
  <si>
    <t>222+100</t>
  </si>
  <si>
    <t>222+200</t>
  </si>
  <si>
    <t>222+300</t>
  </si>
  <si>
    <t>222+400</t>
  </si>
  <si>
    <t>222+500</t>
  </si>
  <si>
    <t>222+600</t>
  </si>
  <si>
    <t>222+700</t>
  </si>
  <si>
    <t>222+800</t>
  </si>
  <si>
    <t>222+900</t>
  </si>
  <si>
    <t>223+000</t>
  </si>
  <si>
    <t>223+100</t>
  </si>
  <si>
    <t>223+200</t>
  </si>
  <si>
    <t>223+300</t>
  </si>
  <si>
    <t>223+400</t>
  </si>
  <si>
    <t>223+500</t>
  </si>
  <si>
    <t>223+600</t>
  </si>
  <si>
    <t>223+700</t>
  </si>
  <si>
    <t>223+800</t>
  </si>
  <si>
    <t>223+900</t>
  </si>
  <si>
    <t>224+000</t>
  </si>
  <si>
    <t>224+100</t>
  </si>
  <si>
    <t>224+200</t>
  </si>
  <si>
    <t>224+300</t>
  </si>
  <si>
    <t>224+400</t>
  </si>
  <si>
    <t>224+500</t>
  </si>
  <si>
    <t>224+600</t>
  </si>
  <si>
    <t>224+700</t>
  </si>
  <si>
    <t>224+800</t>
  </si>
  <si>
    <t>224+900</t>
  </si>
  <si>
    <t>225+000</t>
  </si>
  <si>
    <t>90+580</t>
  </si>
  <si>
    <t>92+720</t>
  </si>
  <si>
    <t>93+535</t>
  </si>
  <si>
    <t>135+100</t>
  </si>
  <si>
    <t>135+200</t>
  </si>
  <si>
    <t>135+300</t>
  </si>
  <si>
    <t>135+400</t>
  </si>
  <si>
    <t>135+500</t>
  </si>
  <si>
    <t>225+100</t>
  </si>
  <si>
    <t>225+200</t>
  </si>
  <si>
    <t>225+300</t>
  </si>
  <si>
    <t>225+400</t>
  </si>
  <si>
    <t>225+500</t>
  </si>
  <si>
    <t>225+600</t>
  </si>
  <si>
    <t>225+700</t>
  </si>
  <si>
    <t>225+800</t>
  </si>
  <si>
    <t>225+900</t>
  </si>
  <si>
    <t>226+000</t>
  </si>
  <si>
    <t>226+100</t>
  </si>
  <si>
    <t>226+200</t>
  </si>
  <si>
    <t>226+300</t>
  </si>
  <si>
    <t>226+280</t>
  </si>
  <si>
    <t>217+830</t>
  </si>
  <si>
    <t>25+850</t>
  </si>
  <si>
    <t>الرواد اخر محطة 208+300</t>
  </si>
  <si>
    <t>******</t>
  </si>
  <si>
    <t>الإجمالي</t>
  </si>
  <si>
    <t>حسن علام</t>
  </si>
  <si>
    <t>طبقة إعادة التدوير</t>
  </si>
  <si>
    <t>بداية المحطة</t>
  </si>
  <si>
    <t>نهاية المحطة</t>
  </si>
  <si>
    <t>الطول (م.ط)</t>
  </si>
  <si>
    <t>طبقة الأساس</t>
  </si>
  <si>
    <t>طبقة التشريب mco</t>
  </si>
  <si>
    <t>25+840</t>
  </si>
  <si>
    <t>نيوم</t>
  </si>
  <si>
    <t>46+470</t>
  </si>
  <si>
    <t>اوراسكوم</t>
  </si>
  <si>
    <t>106+630</t>
  </si>
  <si>
    <t>الرواد</t>
  </si>
  <si>
    <t>62+280</t>
  </si>
  <si>
    <t>26+150</t>
  </si>
  <si>
    <t>26+140</t>
  </si>
  <si>
    <t>45+970</t>
  </si>
  <si>
    <t>26+850</t>
  </si>
  <si>
    <t>45+880</t>
  </si>
  <si>
    <t>29+770</t>
  </si>
  <si>
    <t>17+205</t>
  </si>
  <si>
    <t>217+140</t>
  </si>
  <si>
    <t>50+990</t>
  </si>
  <si>
    <t>17+940</t>
  </si>
  <si>
    <t>18+310</t>
  </si>
  <si>
    <t>29+990</t>
  </si>
  <si>
    <t xml:space="preserve"> </t>
  </si>
  <si>
    <t>51+510</t>
  </si>
  <si>
    <t>21+855</t>
  </si>
  <si>
    <t>104+890</t>
  </si>
  <si>
    <t>215+025</t>
  </si>
  <si>
    <t>22+550</t>
  </si>
  <si>
    <t>23+550</t>
  </si>
  <si>
    <t>52+480</t>
  </si>
  <si>
    <t>26+120</t>
  </si>
  <si>
    <t>213+150</t>
  </si>
  <si>
    <t>213+550</t>
  </si>
  <si>
    <t>28+150</t>
  </si>
  <si>
    <t>212+270</t>
  </si>
  <si>
    <t>211+580</t>
  </si>
  <si>
    <t>29+200.</t>
  </si>
  <si>
    <t>210+940</t>
  </si>
  <si>
    <t>204+150</t>
  </si>
  <si>
    <t>206+700.</t>
  </si>
  <si>
    <t>206+160</t>
  </si>
  <si>
    <t>فرمة اولي</t>
  </si>
  <si>
    <t>203+850</t>
  </si>
  <si>
    <t>203+550</t>
  </si>
  <si>
    <t>31+370</t>
  </si>
  <si>
    <t>31+980</t>
  </si>
  <si>
    <t>29+950</t>
  </si>
  <si>
    <t>53+050</t>
  </si>
  <si>
    <t>92+060</t>
  </si>
  <si>
    <t>91+470</t>
  </si>
  <si>
    <t>202+920</t>
  </si>
  <si>
    <t>خارج</t>
  </si>
  <si>
    <t>المواصفات</t>
  </si>
  <si>
    <t>33+370</t>
  </si>
  <si>
    <t>33+840</t>
  </si>
  <si>
    <t>32+240</t>
  </si>
  <si>
    <t>56+650</t>
  </si>
  <si>
    <t>55+850</t>
  </si>
  <si>
    <t>103+320</t>
  </si>
  <si>
    <t>32+250</t>
  </si>
  <si>
    <t>54+717</t>
  </si>
  <si>
    <t>201+810</t>
  </si>
  <si>
    <t>202+210</t>
  </si>
  <si>
    <t>199+535</t>
  </si>
  <si>
    <t>32+620</t>
  </si>
  <si>
    <t>106+550</t>
  </si>
  <si>
    <t>201+290</t>
  </si>
  <si>
    <t>201+050</t>
  </si>
  <si>
    <t>منطقة البوابة</t>
  </si>
  <si>
    <t>33+080</t>
  </si>
  <si>
    <t>58+050</t>
  </si>
  <si>
    <t>108+880</t>
  </si>
  <si>
    <t>198+285</t>
  </si>
  <si>
    <t>200+250</t>
  </si>
  <si>
    <t>200+360</t>
  </si>
  <si>
    <t>03+430</t>
  </si>
  <si>
    <t>34+120</t>
  </si>
  <si>
    <t>35+580</t>
  </si>
  <si>
    <t>القطاع (A)</t>
  </si>
  <si>
    <t>القطاع (B)</t>
  </si>
  <si>
    <t>أساس</t>
  </si>
  <si>
    <t>تشريب</t>
  </si>
  <si>
    <t>اسفلت</t>
  </si>
  <si>
    <t>المستهدف اليومي</t>
  </si>
  <si>
    <t>الزيادة / النقصان</t>
  </si>
  <si>
    <t>فرمة تانية</t>
  </si>
  <si>
    <t>مجوعة A</t>
  </si>
  <si>
    <t>قطاع B</t>
  </si>
  <si>
    <t>قطاع A</t>
  </si>
  <si>
    <t>الجاهز للعمل في البنذ</t>
  </si>
  <si>
    <t>الجاهز للعمل بالبنذ (منفذ فرمة اولي وغير منفذ فرمة تانية)</t>
  </si>
  <si>
    <t>الجاهز للعمل بالبنذ (مرشوش mc وغير منفذ اسفلت)</t>
  </si>
  <si>
    <t>الجاهز للعمل بالبنذ (المتبقي من القطاع وغير مفروم فرمة اولي)</t>
  </si>
  <si>
    <t>الجاهز للعمل بالبنذ (منفذ فرمة ثانية وغير منفذ اساس)</t>
  </si>
  <si>
    <t>الجاهز للعمل بالبنذ (الغير مفتوح طريق خدمي)</t>
  </si>
  <si>
    <t>الجاهز للعمل بالبنذ (منفذ اساس وغير مرشوش mc)</t>
  </si>
  <si>
    <t>كيلومتر</t>
  </si>
  <si>
    <t>طول الطريق الخدمي العامل</t>
  </si>
  <si>
    <t>المتبقي من الأساس</t>
  </si>
  <si>
    <t>المتبقي من الفرمة الاولي</t>
  </si>
  <si>
    <t>المتبقي من الفرمة التانية</t>
  </si>
  <si>
    <t>المتبقي من طبقة التشريب</t>
  </si>
  <si>
    <t>المتبقي من الاسفلت</t>
  </si>
  <si>
    <t>المتبقي من  الأساس</t>
  </si>
  <si>
    <t>القطاع (أ)</t>
  </si>
  <si>
    <t>القطاع (ب)</t>
  </si>
  <si>
    <t>عبارة 120 متر</t>
  </si>
  <si>
    <t>المتبقي من البنذ</t>
  </si>
  <si>
    <t>مستكمل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</si>
</sst>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د_._ل_._‏_-;\-* #,##0.00\ _د_._ل_._‏_-;_-* &quot;-&quot;??\ _د_._ل_._‏_-;_-@_-"/>
    <numFmt numFmtId="165" formatCode="dddd"/>
    <numFmt numFmtId="166" formatCode="_-* #,##0.000_-;\-* #,##0.000_-;_-* &quot;-&quot;??_-;_-@_-"/>
  </numFmts>
  <fonts count="17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3"/>
      <color theme="1"/>
      <name val="Arial"/>
      <family val="2"/>
      <charset val="178"/>
      <scheme val="minor"/>
    </font>
    <font>
      <sz val="12"/>
      <color theme="1"/>
      <name val="Arial"/>
      <family val="2"/>
      <charset val="178"/>
      <scheme val="minor"/>
    </font>
    <font>
      <b/>
      <sz val="16"/>
      <color theme="1"/>
      <name val="Arial"/>
      <family val="2"/>
      <scheme val="minor"/>
    </font>
    <font>
      <b/>
      <u/>
      <sz val="16"/>
      <color theme="1"/>
      <name val="Arial"/>
      <family val="2"/>
      <scheme val="minor"/>
    </font>
    <font>
      <sz val="14"/>
      <color theme="1"/>
      <name val="Arial"/>
      <family val="2"/>
      <charset val="178"/>
      <scheme val="minor"/>
    </font>
    <font>
      <sz val="8"/>
      <name val="Arial"/>
      <family val="2"/>
      <charset val="178"/>
      <scheme val="minor"/>
    </font>
    <font>
      <b/>
      <sz val="8"/>
      <color theme="1"/>
      <name val="Arial"/>
      <family val="2"/>
      <scheme val="minor"/>
    </font>
    <font>
      <b/>
      <u/>
      <sz val="14"/>
      <color theme="1"/>
      <name val="Arial"/>
      <family val="2"/>
      <scheme val="minor"/>
    </font>
    <font>
      <sz val="10"/>
      <color theme="1"/>
      <name val="Arial"/>
      <family val="2"/>
      <charset val="178"/>
      <scheme val="minor"/>
    </font>
    <font>
      <b/>
      <sz val="7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9"/>
      <color theme="1"/>
      <name val="Arial"/>
      <family val="2"/>
      <charset val="178"/>
      <scheme val="minor"/>
    </font>
    <font>
      <b/>
      <sz val="10"/>
      <color theme="1"/>
      <name val="Arial"/>
      <family val="2"/>
      <scheme val="minor"/>
    </font>
    <font>
      <sz val="13"/>
      <color theme="1"/>
      <name val="Arial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4">
    <xf numFmtId="0" fontId="0" fillId="0" borderId="0" xfId="0"/>
    <xf numFmtId="43" fontId="0" fillId="0" borderId="0" xfId="0" applyNumberFormat="1"/>
    <xf numFmtId="43" fontId="0" fillId="0" borderId="0" xfId="1" applyFont="1"/>
    <xf numFmtId="0" fontId="2" fillId="2" borderId="1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43" fontId="2" fillId="0" borderId="0" xfId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6" fillId="0" borderId="0" xfId="0" applyNumberFormat="1" applyFont="1"/>
    <xf numFmtId="0" fontId="0" fillId="0" borderId="6" xfId="0" applyBorder="1"/>
    <xf numFmtId="0" fontId="2" fillId="3" borderId="2" xfId="0" applyFont="1" applyFill="1" applyBorder="1"/>
    <xf numFmtId="43" fontId="2" fillId="0" borderId="1" xfId="1" applyFont="1" applyBorder="1" applyAlignment="1"/>
    <xf numFmtId="43" fontId="2" fillId="0" borderId="1" xfId="1" applyFont="1" applyFill="1" applyBorder="1" applyAlignment="1"/>
    <xf numFmtId="164" fontId="2" fillId="0" borderId="1" xfId="0" applyNumberFormat="1" applyFont="1" applyBorder="1"/>
    <xf numFmtId="0" fontId="2" fillId="0" borderId="1" xfId="0" applyFont="1" applyBorder="1"/>
    <xf numFmtId="0" fontId="0" fillId="0" borderId="1" xfId="0" applyBorder="1"/>
    <xf numFmtId="43" fontId="0" fillId="0" borderId="1" xfId="0" applyNumberFormat="1" applyBorder="1"/>
    <xf numFmtId="0" fontId="2" fillId="3" borderId="0" xfId="0" applyFont="1" applyFill="1"/>
    <xf numFmtId="0" fontId="2" fillId="3" borderId="6" xfId="0" applyFont="1" applyFill="1" applyBorder="1"/>
    <xf numFmtId="0" fontId="8" fillId="0" borderId="1" xfId="0" applyFont="1" applyBorder="1" applyAlignment="1">
      <alignment textRotation="90"/>
    </xf>
    <xf numFmtId="43" fontId="2" fillId="11" borderId="1" xfId="1" applyFont="1" applyFill="1" applyBorder="1" applyAlignment="1"/>
    <xf numFmtId="164" fontId="2" fillId="11" borderId="1" xfId="0" applyNumberFormat="1" applyFont="1" applyFill="1" applyBorder="1"/>
    <xf numFmtId="0" fontId="2" fillId="11" borderId="1" xfId="0" applyFont="1" applyFill="1" applyBorder="1"/>
    <xf numFmtId="0" fontId="0" fillId="11" borderId="1" xfId="0" applyFill="1" applyBorder="1"/>
    <xf numFmtId="43" fontId="0" fillId="11" borderId="1" xfId="0" applyNumberFormat="1" applyFill="1" applyBorder="1"/>
    <xf numFmtId="164" fontId="0" fillId="11" borderId="1" xfId="0" applyNumberFormat="1" applyFill="1" applyBorder="1"/>
    <xf numFmtId="43" fontId="0" fillId="11" borderId="1" xfId="1" applyFont="1" applyFill="1" applyBorder="1"/>
    <xf numFmtId="0" fontId="8" fillId="11" borderId="1" xfId="0" applyFont="1" applyFill="1" applyBorder="1" applyAlignment="1">
      <alignment textRotation="90"/>
    </xf>
    <xf numFmtId="0" fontId="2" fillId="12" borderId="1" xfId="0" applyFont="1" applyFill="1" applyBorder="1"/>
    <xf numFmtId="0" fontId="0" fillId="12" borderId="1" xfId="0" applyFill="1" applyBorder="1"/>
    <xf numFmtId="43" fontId="0" fillId="12" borderId="1" xfId="0" applyNumberFormat="1" applyFill="1" applyBorder="1"/>
    <xf numFmtId="0" fontId="8" fillId="12" borderId="1" xfId="0" applyFont="1" applyFill="1" applyBorder="1" applyAlignment="1">
      <alignment textRotation="90"/>
    </xf>
    <xf numFmtId="0" fontId="8" fillId="0" borderId="5" xfId="0" applyFont="1" applyBorder="1" applyAlignment="1">
      <alignment textRotation="90"/>
    </xf>
    <xf numFmtId="0" fontId="0" fillId="0" borderId="5" xfId="0" applyBorder="1"/>
    <xf numFmtId="0" fontId="8" fillId="13" borderId="1" xfId="0" applyFont="1" applyFill="1" applyBorder="1" applyAlignment="1">
      <alignment textRotation="90"/>
    </xf>
    <xf numFmtId="43" fontId="2" fillId="13" borderId="1" xfId="1" applyFont="1" applyFill="1" applyBorder="1" applyAlignment="1"/>
    <xf numFmtId="164" fontId="2" fillId="13" borderId="1" xfId="0" applyNumberFormat="1" applyFont="1" applyFill="1" applyBorder="1"/>
    <xf numFmtId="0" fontId="2" fillId="13" borderId="1" xfId="0" applyFont="1" applyFill="1" applyBorder="1"/>
    <xf numFmtId="0" fontId="0" fillId="13" borderId="1" xfId="0" applyFill="1" applyBorder="1"/>
    <xf numFmtId="0" fontId="8" fillId="14" borderId="1" xfId="0" applyFont="1" applyFill="1" applyBorder="1" applyAlignment="1">
      <alignment textRotation="90"/>
    </xf>
    <xf numFmtId="0" fontId="3" fillId="14" borderId="1" xfId="0" applyFont="1" applyFill="1" applyBorder="1" applyAlignment="1">
      <alignment wrapText="1"/>
    </xf>
    <xf numFmtId="0" fontId="0" fillId="14" borderId="1" xfId="0" applyFill="1" applyBorder="1"/>
    <xf numFmtId="43" fontId="0" fillId="14" borderId="1" xfId="0" applyNumberFormat="1" applyFill="1" applyBorder="1"/>
    <xf numFmtId="0" fontId="9" fillId="0" borderId="2" xfId="0" applyFont="1" applyBorder="1" applyAlignment="1">
      <alignment vertical="top"/>
    </xf>
    <xf numFmtId="0" fontId="0" fillId="0" borderId="3" xfId="0" applyBorder="1"/>
    <xf numFmtId="0" fontId="0" fillId="0" borderId="4" xfId="0" applyBorder="1"/>
    <xf numFmtId="164" fontId="0" fillId="0" borderId="1" xfId="0" applyNumberFormat="1" applyBorder="1"/>
    <xf numFmtId="43" fontId="0" fillId="0" borderId="1" xfId="1" applyFont="1" applyFill="1" applyBorder="1"/>
    <xf numFmtId="0" fontId="0" fillId="10" borderId="1" xfId="0" applyFill="1" applyBorder="1"/>
    <xf numFmtId="0" fontId="8" fillId="10" borderId="1" xfId="0" applyFont="1" applyFill="1" applyBorder="1" applyAlignment="1">
      <alignment textRotation="90"/>
    </xf>
    <xf numFmtId="0" fontId="8" fillId="15" borderId="1" xfId="0" applyFont="1" applyFill="1" applyBorder="1" applyAlignment="1">
      <alignment textRotation="90"/>
    </xf>
    <xf numFmtId="0" fontId="0" fillId="15" borderId="1" xfId="0" applyFill="1" applyBorder="1"/>
    <xf numFmtId="0" fontId="8" fillId="16" borderId="1" xfId="0" applyFont="1" applyFill="1" applyBorder="1" applyAlignment="1">
      <alignment textRotation="90"/>
    </xf>
    <xf numFmtId="0" fontId="0" fillId="16" borderId="1" xfId="0" applyFill="1" applyBorder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17" borderId="0" xfId="0" applyFill="1"/>
    <xf numFmtId="43" fontId="0" fillId="0" borderId="0" xfId="1" applyFont="1" applyBorder="1"/>
    <xf numFmtId="43" fontId="0" fillId="0" borderId="0" xfId="1" applyFont="1" applyBorder="1" applyAlignment="1"/>
    <xf numFmtId="0" fontId="8" fillId="18" borderId="1" xfId="0" applyFont="1" applyFill="1" applyBorder="1" applyAlignment="1">
      <alignment textRotation="90"/>
    </xf>
    <xf numFmtId="0" fontId="8" fillId="18" borderId="1" xfId="0" applyFont="1" applyFill="1" applyBorder="1" applyAlignment="1">
      <alignment vertical="center" textRotation="90"/>
    </xf>
    <xf numFmtId="0" fontId="8" fillId="8" borderId="1" xfId="0" applyFont="1" applyFill="1" applyBorder="1" applyAlignment="1">
      <alignment textRotation="90"/>
    </xf>
    <xf numFmtId="0" fontId="11" fillId="8" borderId="1" xfId="0" applyFont="1" applyFill="1" applyBorder="1" applyAlignment="1">
      <alignment textRotation="90"/>
    </xf>
    <xf numFmtId="166" fontId="0" fillId="0" borderId="0" xfId="1" applyNumberFormat="1" applyFont="1" applyBorder="1" applyAlignment="1"/>
    <xf numFmtId="0" fontId="10" fillId="0" borderId="0" xfId="0" applyFont="1" applyAlignment="1">
      <alignment vertical="center"/>
    </xf>
    <xf numFmtId="43" fontId="0" fillId="0" borderId="0" xfId="1" applyFont="1" applyBorder="1" applyAlignment="1">
      <alignment vertical="center"/>
    </xf>
    <xf numFmtId="0" fontId="5" fillId="0" borderId="0" xfId="0" applyFont="1"/>
    <xf numFmtId="0" fontId="5" fillId="0" borderId="5" xfId="0" applyFont="1" applyBorder="1"/>
    <xf numFmtId="0" fontId="4" fillId="4" borderId="3" xfId="0" applyFont="1" applyFill="1" applyBorder="1"/>
    <xf numFmtId="43" fontId="10" fillId="0" borderId="0" xfId="1" applyFont="1" applyBorder="1" applyAlignment="1">
      <alignment vertical="center"/>
    </xf>
    <xf numFmtId="43" fontId="0" fillId="19" borderId="8" xfId="1" applyFont="1" applyFill="1" applyBorder="1" applyAlignment="1"/>
    <xf numFmtId="43" fontId="0" fillId="19" borderId="0" xfId="1" applyFont="1" applyFill="1" applyBorder="1" applyAlignment="1"/>
    <xf numFmtId="43" fontId="0" fillId="19" borderId="17" xfId="1" applyFont="1" applyFill="1" applyBorder="1" applyAlignment="1"/>
    <xf numFmtId="43" fontId="0" fillId="19" borderId="22" xfId="1" applyFont="1" applyFill="1" applyBorder="1" applyAlignment="1"/>
    <xf numFmtId="43" fontId="0" fillId="19" borderId="19" xfId="1" applyFont="1" applyFill="1" applyBorder="1" applyAlignment="1"/>
    <xf numFmtId="43" fontId="0" fillId="19" borderId="23" xfId="1" applyFont="1" applyFill="1" applyBorder="1" applyAlignment="1"/>
    <xf numFmtId="43" fontId="10" fillId="19" borderId="10" xfId="1" applyFont="1" applyFill="1" applyBorder="1" applyAlignment="1">
      <alignment vertical="center"/>
    </xf>
    <xf numFmtId="43" fontId="10" fillId="19" borderId="11" xfId="1" applyFont="1" applyFill="1" applyBorder="1" applyAlignment="1">
      <alignment vertical="center"/>
    </xf>
    <xf numFmtId="43" fontId="10" fillId="19" borderId="12" xfId="1" applyFont="1" applyFill="1" applyBorder="1" applyAlignment="1">
      <alignment vertical="center"/>
    </xf>
    <xf numFmtId="0" fontId="12" fillId="19" borderId="10" xfId="0" applyFont="1" applyFill="1" applyBorder="1"/>
    <xf numFmtId="0" fontId="12" fillId="19" borderId="12" xfId="0" applyFont="1" applyFill="1" applyBorder="1"/>
    <xf numFmtId="0" fontId="0" fillId="19" borderId="14" xfId="0" applyFill="1" applyBorder="1"/>
    <xf numFmtId="0" fontId="0" fillId="19" borderId="12" xfId="0" applyFill="1" applyBorder="1"/>
    <xf numFmtId="0" fontId="12" fillId="19" borderId="45" xfId="0" applyFont="1" applyFill="1" applyBorder="1"/>
    <xf numFmtId="0" fontId="12" fillId="19" borderId="3" xfId="0" applyFont="1" applyFill="1" applyBorder="1"/>
    <xf numFmtId="0" fontId="0" fillId="19" borderId="3" xfId="0" applyFill="1" applyBorder="1"/>
    <xf numFmtId="0" fontId="0" fillId="19" borderId="4" xfId="0" applyFill="1" applyBorder="1"/>
    <xf numFmtId="0" fontId="12" fillId="19" borderId="46" xfId="0" applyFont="1" applyFill="1" applyBorder="1"/>
    <xf numFmtId="0" fontId="12" fillId="19" borderId="38" xfId="0" applyFont="1" applyFill="1" applyBorder="1"/>
    <xf numFmtId="0" fontId="0" fillId="19" borderId="38" xfId="0" applyFill="1" applyBorder="1"/>
    <xf numFmtId="0" fontId="0" fillId="19" borderId="39" xfId="0" applyFill="1" applyBorder="1"/>
    <xf numFmtId="43" fontId="0" fillId="20" borderId="14" xfId="1" applyFont="1" applyFill="1" applyBorder="1"/>
    <xf numFmtId="43" fontId="0" fillId="20" borderId="11" xfId="1" applyFont="1" applyFill="1" applyBorder="1"/>
    <xf numFmtId="43" fontId="0" fillId="20" borderId="15" xfId="1" applyFont="1" applyFill="1" applyBorder="1"/>
    <xf numFmtId="43" fontId="0" fillId="20" borderId="8" xfId="1" applyFont="1" applyFill="1" applyBorder="1"/>
    <xf numFmtId="43" fontId="0" fillId="20" borderId="0" xfId="1" applyFont="1" applyFill="1" applyBorder="1"/>
    <xf numFmtId="43" fontId="0" fillId="20" borderId="17" xfId="1" applyFont="1" applyFill="1" applyBorder="1"/>
    <xf numFmtId="43" fontId="0" fillId="20" borderId="8" xfId="1" applyFont="1" applyFill="1" applyBorder="1" applyAlignment="1"/>
    <xf numFmtId="43" fontId="0" fillId="20" borderId="0" xfId="1" applyFont="1" applyFill="1" applyBorder="1" applyAlignment="1"/>
    <xf numFmtId="43" fontId="0" fillId="20" borderId="17" xfId="1" applyFont="1" applyFill="1" applyBorder="1" applyAlignment="1"/>
    <xf numFmtId="43" fontId="0" fillId="20" borderId="14" xfId="1" applyFont="1" applyFill="1" applyBorder="1" applyAlignment="1"/>
    <xf numFmtId="43" fontId="0" fillId="20" borderId="11" xfId="1" applyFont="1" applyFill="1" applyBorder="1" applyAlignment="1"/>
    <xf numFmtId="43" fontId="0" fillId="20" borderId="15" xfId="1" applyFont="1" applyFill="1" applyBorder="1" applyAlignment="1"/>
    <xf numFmtId="0" fontId="12" fillId="20" borderId="44" xfId="0" applyFont="1" applyFill="1" applyBorder="1"/>
    <xf numFmtId="0" fontId="0" fillId="20" borderId="36" xfId="0" applyFill="1" applyBorder="1"/>
    <xf numFmtId="0" fontId="12" fillId="20" borderId="45" xfId="0" applyFont="1" applyFill="1" applyBorder="1"/>
    <xf numFmtId="0" fontId="0" fillId="20" borderId="4" xfId="0" applyFill="1" applyBorder="1"/>
    <xf numFmtId="0" fontId="12" fillId="20" borderId="46" xfId="0" applyFont="1" applyFill="1" applyBorder="1"/>
    <xf numFmtId="0" fontId="0" fillId="20" borderId="39" xfId="0" applyFill="1" applyBorder="1"/>
    <xf numFmtId="43" fontId="0" fillId="18" borderId="14" xfId="1" applyFont="1" applyFill="1" applyBorder="1" applyAlignment="1"/>
    <xf numFmtId="43" fontId="0" fillId="18" borderId="11" xfId="1" applyFont="1" applyFill="1" applyBorder="1" applyAlignment="1"/>
    <xf numFmtId="43" fontId="0" fillId="18" borderId="15" xfId="1" applyFont="1" applyFill="1" applyBorder="1" applyAlignment="1"/>
    <xf numFmtId="43" fontId="0" fillId="18" borderId="14" xfId="1" applyFont="1" applyFill="1" applyBorder="1"/>
    <xf numFmtId="43" fontId="0" fillId="18" borderId="11" xfId="1" applyFont="1" applyFill="1" applyBorder="1"/>
    <xf numFmtId="43" fontId="0" fillId="18" borderId="15" xfId="1" applyFont="1" applyFill="1" applyBorder="1"/>
    <xf numFmtId="43" fontId="0" fillId="18" borderId="17" xfId="1" applyFont="1" applyFill="1" applyBorder="1"/>
    <xf numFmtId="43" fontId="0" fillId="18" borderId="8" xfId="1" applyFont="1" applyFill="1" applyBorder="1"/>
    <xf numFmtId="43" fontId="0" fillId="18" borderId="0" xfId="1" applyFont="1" applyFill="1" applyBorder="1"/>
    <xf numFmtId="43" fontId="0" fillId="18" borderId="8" xfId="1" applyFont="1" applyFill="1" applyBorder="1" applyAlignment="1"/>
    <xf numFmtId="43" fontId="0" fillId="18" borderId="0" xfId="1" applyFont="1" applyFill="1" applyBorder="1" applyAlignment="1"/>
    <xf numFmtId="43" fontId="0" fillId="20" borderId="8" xfId="1" applyFont="1" applyFill="1" applyBorder="1" applyAlignment="1">
      <alignment horizontal="center"/>
    </xf>
    <xf numFmtId="43" fontId="0" fillId="20" borderId="0" xfId="1" applyFont="1" applyFill="1" applyBorder="1" applyAlignment="1">
      <alignment horizontal="center"/>
    </xf>
    <xf numFmtId="0" fontId="13" fillId="2" borderId="1" xfId="0" applyFont="1" applyFill="1" applyBorder="1"/>
    <xf numFmtId="0" fontId="13" fillId="3" borderId="2" xfId="0" applyFont="1" applyFill="1" applyBorder="1"/>
    <xf numFmtId="0" fontId="13" fillId="3" borderId="3" xfId="0" applyFont="1" applyFill="1" applyBorder="1"/>
    <xf numFmtId="0" fontId="0" fillId="10" borderId="42" xfId="0" applyFill="1" applyBorder="1"/>
    <xf numFmtId="0" fontId="0" fillId="10" borderId="40" xfId="0" applyFill="1" applyBorder="1"/>
    <xf numFmtId="0" fontId="0" fillId="8" borderId="2" xfId="0" applyFill="1" applyBorder="1"/>
    <xf numFmtId="0" fontId="0" fillId="8" borderId="3" xfId="0" applyFill="1" applyBorder="1"/>
    <xf numFmtId="0" fontId="0" fillId="7" borderId="2" xfId="0" applyFill="1" applyBorder="1"/>
    <xf numFmtId="0" fontId="0" fillId="7" borderId="3" xfId="0" applyFill="1" applyBorder="1"/>
    <xf numFmtId="0" fontId="0" fillId="6" borderId="2" xfId="0" applyFill="1" applyBorder="1"/>
    <xf numFmtId="0" fontId="0" fillId="6" borderId="3" xfId="0" applyFill="1" applyBorder="1"/>
    <xf numFmtId="0" fontId="0" fillId="0" borderId="42" xfId="0" applyBorder="1"/>
    <xf numFmtId="0" fontId="0" fillId="0" borderId="40" xfId="0" applyBorder="1"/>
    <xf numFmtId="0" fontId="0" fillId="10" borderId="3" xfId="0" applyFill="1" applyBorder="1"/>
    <xf numFmtId="164" fontId="2" fillId="0" borderId="0" xfId="0" applyNumberFormat="1" applyFont="1"/>
    <xf numFmtId="43" fontId="0" fillId="20" borderId="17" xfId="1" applyFont="1" applyFill="1" applyBorder="1" applyAlignment="1">
      <alignment horizontal="center"/>
    </xf>
    <xf numFmtId="43" fontId="0" fillId="20" borderId="16" xfId="1" applyFont="1" applyFill="1" applyBorder="1" applyAlignment="1">
      <alignment horizontal="center" vertical="center"/>
    </xf>
    <xf numFmtId="43" fontId="0" fillId="20" borderId="6" xfId="1" applyFont="1" applyFill="1" applyBorder="1" applyAlignment="1">
      <alignment horizontal="center" vertical="center"/>
    </xf>
    <xf numFmtId="43" fontId="0" fillId="20" borderId="0" xfId="1" applyFont="1" applyFill="1" applyBorder="1" applyAlignment="1">
      <alignment horizontal="center" vertical="center"/>
    </xf>
    <xf numFmtId="43" fontId="0" fillId="20" borderId="6" xfId="1" applyFont="1" applyFill="1" applyBorder="1" applyAlignment="1">
      <alignment horizontal="center"/>
    </xf>
    <xf numFmtId="43" fontId="0" fillId="0" borderId="0" xfId="1" applyFont="1" applyFill="1" applyBorder="1" applyAlignment="1">
      <alignment wrapText="1"/>
    </xf>
    <xf numFmtId="166" fontId="0" fillId="0" borderId="0" xfId="1" applyNumberFormat="1" applyFont="1" applyFill="1" applyBorder="1" applyAlignment="1"/>
    <xf numFmtId="43" fontId="0" fillId="0" borderId="0" xfId="1" applyFont="1" applyFill="1" applyBorder="1" applyAlignment="1"/>
    <xf numFmtId="43" fontId="14" fillId="0" borderId="0" xfId="1" applyFont="1" applyFill="1" applyBorder="1" applyAlignment="1"/>
    <xf numFmtId="0" fontId="14" fillId="0" borderId="0" xfId="0" applyFont="1"/>
    <xf numFmtId="43" fontId="0" fillId="19" borderId="17" xfId="1" applyFont="1" applyFill="1" applyBorder="1"/>
    <xf numFmtId="43" fontId="10" fillId="19" borderId="16" xfId="1" applyFont="1" applyFill="1" applyBorder="1" applyAlignment="1">
      <alignment vertical="center"/>
    </xf>
    <xf numFmtId="43" fontId="10" fillId="19" borderId="0" xfId="1" applyFont="1" applyFill="1" applyBorder="1" applyAlignment="1">
      <alignment vertical="center"/>
    </xf>
    <xf numFmtId="43" fontId="10" fillId="19" borderId="6" xfId="1" applyFont="1" applyFill="1" applyBorder="1" applyAlignment="1">
      <alignment vertical="center"/>
    </xf>
    <xf numFmtId="43" fontId="0" fillId="0" borderId="0" xfId="1" applyFont="1" applyFill="1" applyBorder="1" applyAlignment="1">
      <alignment vertical="center"/>
    </xf>
    <xf numFmtId="43" fontId="0" fillId="0" borderId="0" xfId="1" applyFont="1" applyFill="1" applyBorder="1"/>
    <xf numFmtId="43" fontId="12" fillId="0" borderId="0" xfId="1" applyFont="1" applyFill="1" applyBorder="1"/>
    <xf numFmtId="0" fontId="12" fillId="0" borderId="0" xfId="0" applyFont="1"/>
    <xf numFmtId="43" fontId="12" fillId="0" borderId="0" xfId="1" applyFont="1" applyFill="1" applyBorder="1" applyAlignment="1"/>
    <xf numFmtId="43" fontId="0" fillId="0" borderId="0" xfId="1" applyFont="1" applyFill="1"/>
    <xf numFmtId="43" fontId="0" fillId="0" borderId="43" xfId="1" applyFont="1" applyFill="1" applyBorder="1"/>
    <xf numFmtId="43" fontId="14" fillId="0" borderId="7" xfId="1" applyFont="1" applyFill="1" applyBorder="1"/>
    <xf numFmtId="43" fontId="0" fillId="0" borderId="5" xfId="1" applyFont="1" applyFill="1" applyBorder="1"/>
    <xf numFmtId="43" fontId="0" fillId="0" borderId="41" xfId="1" applyFont="1" applyFill="1" applyBorder="1"/>
    <xf numFmtId="43" fontId="0" fillId="0" borderId="11" xfId="1" applyFont="1" applyFill="1" applyBorder="1" applyAlignment="1"/>
    <xf numFmtId="166" fontId="0" fillId="0" borderId="11" xfId="1" applyNumberFormat="1" applyFont="1" applyFill="1" applyBorder="1" applyAlignment="1"/>
    <xf numFmtId="0" fontId="6" fillId="0" borderId="40" xfId="0" applyFont="1" applyBorder="1"/>
    <xf numFmtId="0" fontId="0" fillId="0" borderId="43" xfId="0" applyBorder="1"/>
    <xf numFmtId="0" fontId="0" fillId="0" borderId="8" xfId="0" applyBorder="1"/>
    <xf numFmtId="43" fontId="0" fillId="0" borderId="6" xfId="1" applyFont="1" applyFill="1" applyBorder="1"/>
    <xf numFmtId="0" fontId="0" fillId="0" borderId="7" xfId="0" applyBorder="1"/>
    <xf numFmtId="43" fontId="0" fillId="0" borderId="5" xfId="1" applyFont="1" applyFill="1" applyBorder="1" applyAlignment="1">
      <alignment vertical="center"/>
    </xf>
    <xf numFmtId="166" fontId="0" fillId="0" borderId="5" xfId="1" applyNumberFormat="1" applyFont="1" applyFill="1" applyBorder="1" applyAlignment="1"/>
    <xf numFmtId="43" fontId="0" fillId="0" borderId="5" xfId="1" applyFont="1" applyFill="1" applyBorder="1" applyAlignment="1"/>
    <xf numFmtId="0" fontId="0" fillId="0" borderId="41" xfId="0" applyBorder="1"/>
    <xf numFmtId="43" fontId="0" fillId="0" borderId="6" xfId="1" applyFont="1" applyBorder="1"/>
    <xf numFmtId="43" fontId="0" fillId="0" borderId="6" xfId="1" applyFont="1" applyBorder="1" applyAlignment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3" fillId="3" borderId="1" xfId="0" applyFont="1" applyFill="1" applyBorder="1" applyAlignment="1">
      <alignment horizontal="right"/>
    </xf>
    <xf numFmtId="43" fontId="2" fillId="0" borderId="2" xfId="1" applyFont="1" applyBorder="1" applyAlignment="1">
      <alignment horizontal="right"/>
    </xf>
    <xf numFmtId="43" fontId="2" fillId="0" borderId="3" xfId="1" applyFont="1" applyBorder="1" applyAlignment="1">
      <alignment horizontal="right"/>
    </xf>
    <xf numFmtId="43" fontId="2" fillId="0" borderId="4" xfId="1" applyFont="1" applyBorder="1" applyAlignment="1">
      <alignment horizontal="right"/>
    </xf>
    <xf numFmtId="164" fontId="2" fillId="6" borderId="2" xfId="0" applyNumberFormat="1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64" fontId="3" fillId="21" borderId="2" xfId="0" applyNumberFormat="1" applyFont="1" applyFill="1" applyBorder="1" applyAlignment="1">
      <alignment horizontal="center"/>
    </xf>
    <xf numFmtId="164" fontId="3" fillId="21" borderId="3" xfId="0" applyNumberFormat="1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 wrapText="1"/>
    </xf>
    <xf numFmtId="164" fontId="3" fillId="0" borderId="3" xfId="0" applyNumberFormat="1" applyFont="1" applyBorder="1" applyAlignment="1">
      <alignment horizontal="center" wrapText="1"/>
    </xf>
    <xf numFmtId="164" fontId="3" fillId="0" borderId="4" xfId="0" applyNumberFormat="1" applyFont="1" applyBorder="1" applyAlignment="1">
      <alignment horizontal="center" wrapText="1"/>
    </xf>
    <xf numFmtId="43" fontId="0" fillId="0" borderId="0" xfId="0" applyNumberFormat="1" applyAlignment="1">
      <alignment horizontal="center"/>
    </xf>
    <xf numFmtId="43" fontId="2" fillId="0" borderId="2" xfId="1" applyFont="1" applyBorder="1" applyAlignment="1">
      <alignment horizontal="center"/>
    </xf>
    <xf numFmtId="43" fontId="2" fillId="0" borderId="3" xfId="1" applyFont="1" applyBorder="1" applyAlignment="1">
      <alignment horizontal="center"/>
    </xf>
    <xf numFmtId="43" fontId="2" fillId="0" borderId="4" xfId="1" applyFont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164" fontId="13" fillId="5" borderId="2" xfId="0" applyNumberFormat="1" applyFont="1" applyFill="1" applyBorder="1" applyAlignment="1">
      <alignment horizontal="right"/>
    </xf>
    <xf numFmtId="164" fontId="13" fillId="5" borderId="3" xfId="0" applyNumberFormat="1" applyFont="1" applyFill="1" applyBorder="1" applyAlignment="1">
      <alignment horizontal="right"/>
    </xf>
    <xf numFmtId="164" fontId="13" fillId="5" borderId="4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right"/>
    </xf>
    <xf numFmtId="164" fontId="2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9" borderId="2" xfId="0" applyNumberFormat="1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164" fontId="2" fillId="8" borderId="2" xfId="0" applyNumberFormat="1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164" fontId="2" fillId="10" borderId="2" xfId="0" applyNumberFormat="1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10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 wrapText="1"/>
    </xf>
    <xf numFmtId="0" fontId="13" fillId="2" borderId="3" xfId="0" applyFont="1" applyFill="1" applyBorder="1" applyAlignment="1">
      <alignment horizontal="center" wrapText="1"/>
    </xf>
    <xf numFmtId="0" fontId="13" fillId="2" borderId="4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41" xfId="0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3" borderId="1" xfId="0" applyFill="1" applyBorder="1" applyAlignment="1">
      <alignment horizontal="right"/>
    </xf>
    <xf numFmtId="164" fontId="2" fillId="7" borderId="2" xfId="0" applyNumberFormat="1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43" fontId="0" fillId="20" borderId="22" xfId="1" applyFont="1" applyFill="1" applyBorder="1" applyAlignment="1">
      <alignment horizontal="center"/>
    </xf>
    <xf numFmtId="43" fontId="0" fillId="20" borderId="19" xfId="1" applyFont="1" applyFill="1" applyBorder="1" applyAlignment="1">
      <alignment horizontal="center"/>
    </xf>
    <xf numFmtId="43" fontId="0" fillId="20" borderId="23" xfId="1" applyFont="1" applyFill="1" applyBorder="1" applyAlignment="1">
      <alignment horizontal="center"/>
    </xf>
    <xf numFmtId="43" fontId="0" fillId="20" borderId="24" xfId="1" applyFont="1" applyFill="1" applyBorder="1" applyAlignment="1">
      <alignment horizontal="center"/>
    </xf>
    <xf numFmtId="166" fontId="0" fillId="20" borderId="2" xfId="1" applyNumberFormat="1" applyFont="1" applyFill="1" applyBorder="1" applyAlignment="1">
      <alignment horizontal="center"/>
    </xf>
    <xf numFmtId="166" fontId="0" fillId="20" borderId="3" xfId="1" applyNumberFormat="1" applyFont="1" applyFill="1" applyBorder="1" applyAlignment="1">
      <alignment horizontal="center"/>
    </xf>
    <xf numFmtId="166" fontId="0" fillId="20" borderId="4" xfId="1" applyNumberFormat="1" applyFont="1" applyFill="1" applyBorder="1" applyAlignment="1">
      <alignment horizontal="center"/>
    </xf>
    <xf numFmtId="43" fontId="0" fillId="20" borderId="2" xfId="1" applyFont="1" applyFill="1" applyBorder="1" applyAlignment="1">
      <alignment horizontal="center"/>
    </xf>
    <xf numFmtId="43" fontId="0" fillId="20" borderId="3" xfId="1" applyFont="1" applyFill="1" applyBorder="1" applyAlignment="1">
      <alignment horizontal="center"/>
    </xf>
    <xf numFmtId="43" fontId="0" fillId="20" borderId="4" xfId="1" applyFont="1" applyFill="1" applyBorder="1" applyAlignment="1">
      <alignment horizontal="center"/>
    </xf>
    <xf numFmtId="43" fontId="0" fillId="20" borderId="8" xfId="1" applyFont="1" applyFill="1" applyBorder="1" applyAlignment="1">
      <alignment horizontal="center"/>
    </xf>
    <xf numFmtId="43" fontId="0" fillId="20" borderId="0" xfId="1" applyFont="1" applyFill="1" applyBorder="1" applyAlignment="1">
      <alignment horizontal="center"/>
    </xf>
    <xf numFmtId="43" fontId="0" fillId="20" borderId="10" xfId="1" applyFont="1" applyFill="1" applyBorder="1" applyAlignment="1">
      <alignment horizontal="center" vertical="center"/>
    </xf>
    <xf numFmtId="43" fontId="0" fillId="20" borderId="11" xfId="1" applyFont="1" applyFill="1" applyBorder="1" applyAlignment="1">
      <alignment horizontal="center" vertical="center"/>
    </xf>
    <xf numFmtId="43" fontId="0" fillId="20" borderId="12" xfId="1" applyFont="1" applyFill="1" applyBorder="1" applyAlignment="1">
      <alignment horizontal="center" vertical="center"/>
    </xf>
    <xf numFmtId="43" fontId="0" fillId="20" borderId="16" xfId="1" applyFont="1" applyFill="1" applyBorder="1" applyAlignment="1">
      <alignment horizontal="center" vertical="center"/>
    </xf>
    <xf numFmtId="43" fontId="0" fillId="20" borderId="0" xfId="1" applyFont="1" applyFill="1" applyBorder="1" applyAlignment="1">
      <alignment horizontal="center" vertical="center"/>
    </xf>
    <xf numFmtId="43" fontId="0" fillId="20" borderId="6" xfId="1" applyFont="1" applyFill="1" applyBorder="1" applyAlignment="1">
      <alignment horizontal="center" vertical="center"/>
    </xf>
    <xf numFmtId="43" fontId="0" fillId="20" borderId="18" xfId="1" applyFont="1" applyFill="1" applyBorder="1" applyAlignment="1">
      <alignment horizontal="center" vertical="center"/>
    </xf>
    <xf numFmtId="43" fontId="0" fillId="20" borderId="19" xfId="1" applyFont="1" applyFill="1" applyBorder="1" applyAlignment="1">
      <alignment horizontal="center" vertical="center"/>
    </xf>
    <xf numFmtId="43" fontId="0" fillId="20" borderId="20" xfId="1" applyFont="1" applyFill="1" applyBorder="1" applyAlignment="1">
      <alignment horizontal="center" vertical="center"/>
    </xf>
    <xf numFmtId="166" fontId="0" fillId="20" borderId="14" xfId="1" applyNumberFormat="1" applyFont="1" applyFill="1" applyBorder="1" applyAlignment="1">
      <alignment horizontal="center"/>
    </xf>
    <xf numFmtId="166" fontId="0" fillId="20" borderId="11" xfId="1" applyNumberFormat="1" applyFont="1" applyFill="1" applyBorder="1" applyAlignment="1">
      <alignment horizontal="center"/>
    </xf>
    <xf numFmtId="166" fontId="0" fillId="20" borderId="12" xfId="1" applyNumberFormat="1" applyFont="1" applyFill="1" applyBorder="1" applyAlignment="1">
      <alignment horizontal="center"/>
    </xf>
    <xf numFmtId="43" fontId="0" fillId="20" borderId="14" xfId="1" applyFont="1" applyFill="1" applyBorder="1" applyAlignment="1">
      <alignment horizontal="center"/>
    </xf>
    <xf numFmtId="43" fontId="0" fillId="20" borderId="11" xfId="1" applyFont="1" applyFill="1" applyBorder="1" applyAlignment="1">
      <alignment horizontal="center"/>
    </xf>
    <xf numFmtId="43" fontId="0" fillId="20" borderId="12" xfId="1" applyFont="1" applyFill="1" applyBorder="1" applyAlignment="1">
      <alignment horizontal="center"/>
    </xf>
    <xf numFmtId="43" fontId="0" fillId="20" borderId="29" xfId="1" applyFont="1" applyFill="1" applyBorder="1" applyAlignment="1">
      <alignment horizontal="center"/>
    </xf>
    <xf numFmtId="43" fontId="0" fillId="20" borderId="30" xfId="1" applyFont="1" applyFill="1" applyBorder="1" applyAlignment="1">
      <alignment horizontal="center"/>
    </xf>
    <xf numFmtId="166" fontId="0" fillId="20" borderId="13" xfId="1" applyNumberFormat="1" applyFont="1" applyFill="1" applyBorder="1" applyAlignment="1">
      <alignment horizontal="center"/>
    </xf>
    <xf numFmtId="43" fontId="0" fillId="20" borderId="21" xfId="1" applyFont="1" applyFill="1" applyBorder="1" applyAlignment="1">
      <alignment horizontal="center"/>
    </xf>
    <xf numFmtId="43" fontId="10" fillId="20" borderId="10" xfId="1" applyFont="1" applyFill="1" applyBorder="1" applyAlignment="1">
      <alignment horizontal="center" vertical="center"/>
    </xf>
    <xf numFmtId="43" fontId="10" fillId="20" borderId="11" xfId="1" applyFont="1" applyFill="1" applyBorder="1" applyAlignment="1">
      <alignment horizontal="center" vertical="center"/>
    </xf>
    <xf numFmtId="43" fontId="10" fillId="20" borderId="12" xfId="1" applyFont="1" applyFill="1" applyBorder="1" applyAlignment="1">
      <alignment horizontal="center" vertical="center"/>
    </xf>
    <xf numFmtId="43" fontId="10" fillId="20" borderId="16" xfId="1" applyFont="1" applyFill="1" applyBorder="1" applyAlignment="1">
      <alignment horizontal="center" vertical="center"/>
    </xf>
    <xf numFmtId="43" fontId="10" fillId="20" borderId="0" xfId="1" applyFont="1" applyFill="1" applyBorder="1" applyAlignment="1">
      <alignment horizontal="center" vertical="center"/>
    </xf>
    <xf numFmtId="43" fontId="10" fillId="20" borderId="6" xfId="1" applyFont="1" applyFill="1" applyBorder="1" applyAlignment="1">
      <alignment horizontal="center" vertical="center"/>
    </xf>
    <xf numFmtId="43" fontId="10" fillId="20" borderId="18" xfId="1" applyFont="1" applyFill="1" applyBorder="1" applyAlignment="1">
      <alignment horizontal="center" vertical="center"/>
    </xf>
    <xf numFmtId="43" fontId="10" fillId="20" borderId="19" xfId="1" applyFont="1" applyFill="1" applyBorder="1" applyAlignment="1">
      <alignment horizontal="center" vertical="center"/>
    </xf>
    <xf numFmtId="43" fontId="10" fillId="20" borderId="20" xfId="1" applyFont="1" applyFill="1" applyBorder="1" applyAlignment="1">
      <alignment horizontal="center" vertical="center"/>
    </xf>
    <xf numFmtId="166" fontId="0" fillId="20" borderId="37" xfId="1" applyNumberFormat="1" applyFont="1" applyFill="1" applyBorder="1" applyAlignment="1">
      <alignment horizontal="center"/>
    </xf>
    <xf numFmtId="166" fontId="0" fillId="20" borderId="38" xfId="1" applyNumberFormat="1" applyFont="1" applyFill="1" applyBorder="1" applyAlignment="1">
      <alignment horizontal="center"/>
    </xf>
    <xf numFmtId="166" fontId="0" fillId="20" borderId="39" xfId="1" applyNumberFormat="1" applyFont="1" applyFill="1" applyBorder="1" applyAlignment="1">
      <alignment horizontal="center"/>
    </xf>
    <xf numFmtId="43" fontId="0" fillId="20" borderId="37" xfId="1" applyFont="1" applyFill="1" applyBorder="1" applyAlignment="1">
      <alignment horizontal="center"/>
    </xf>
    <xf numFmtId="43" fontId="0" fillId="20" borderId="38" xfId="1" applyFont="1" applyFill="1" applyBorder="1" applyAlignment="1">
      <alignment horizontal="center"/>
    </xf>
    <xf numFmtId="43" fontId="0" fillId="20" borderId="39" xfId="1" applyFont="1" applyFill="1" applyBorder="1" applyAlignment="1">
      <alignment horizontal="center"/>
    </xf>
    <xf numFmtId="43" fontId="0" fillId="20" borderId="15" xfId="1" applyFont="1" applyFill="1" applyBorder="1" applyAlignment="1">
      <alignment horizontal="center"/>
    </xf>
    <xf numFmtId="166" fontId="0" fillId="20" borderId="1" xfId="1" applyNumberFormat="1" applyFont="1" applyFill="1" applyBorder="1" applyAlignment="1">
      <alignment horizontal="center"/>
    </xf>
    <xf numFmtId="43" fontId="0" fillId="20" borderId="1" xfId="1" applyFont="1" applyFill="1" applyBorder="1" applyAlignment="1">
      <alignment horizontal="center"/>
    </xf>
    <xf numFmtId="43" fontId="0" fillId="20" borderId="17" xfId="1" applyFont="1" applyFill="1" applyBorder="1" applyAlignment="1">
      <alignment horizontal="center"/>
    </xf>
    <xf numFmtId="43" fontId="0" fillId="20" borderId="25" xfId="1" applyFont="1" applyFill="1" applyBorder="1" applyAlignment="1">
      <alignment horizontal="center"/>
    </xf>
    <xf numFmtId="166" fontId="0" fillId="20" borderId="24" xfId="1" applyNumberFormat="1" applyFont="1" applyFill="1" applyBorder="1" applyAlignment="1">
      <alignment horizontal="center"/>
    </xf>
    <xf numFmtId="166" fontId="0" fillId="18" borderId="13" xfId="1" applyNumberFormat="1" applyFont="1" applyFill="1" applyBorder="1" applyAlignment="1">
      <alignment horizontal="center"/>
    </xf>
    <xf numFmtId="43" fontId="0" fillId="18" borderId="13" xfId="1" applyFont="1" applyFill="1" applyBorder="1" applyAlignment="1">
      <alignment horizontal="center"/>
    </xf>
    <xf numFmtId="166" fontId="12" fillId="20" borderId="2" xfId="1" applyNumberFormat="1" applyFont="1" applyFill="1" applyBorder="1" applyAlignment="1">
      <alignment horizontal="center"/>
    </xf>
    <xf numFmtId="166" fontId="12" fillId="20" borderId="3" xfId="1" applyNumberFormat="1" applyFont="1" applyFill="1" applyBorder="1" applyAlignment="1">
      <alignment horizontal="center"/>
    </xf>
    <xf numFmtId="166" fontId="12" fillId="20" borderId="48" xfId="1" applyNumberFormat="1" applyFont="1" applyFill="1" applyBorder="1" applyAlignment="1">
      <alignment horizontal="center"/>
    </xf>
    <xf numFmtId="166" fontId="12" fillId="20" borderId="34" xfId="1" applyNumberFormat="1" applyFont="1" applyFill="1" applyBorder="1" applyAlignment="1">
      <alignment horizontal="center"/>
    </xf>
    <xf numFmtId="166" fontId="12" fillId="20" borderId="35" xfId="1" applyNumberFormat="1" applyFont="1" applyFill="1" applyBorder="1" applyAlignment="1">
      <alignment horizontal="center"/>
    </xf>
    <xf numFmtId="166" fontId="12" fillId="20" borderId="47" xfId="1" applyNumberFormat="1" applyFont="1" applyFill="1" applyBorder="1" applyAlignment="1">
      <alignment horizontal="center"/>
    </xf>
    <xf numFmtId="166" fontId="12" fillId="20" borderId="37" xfId="1" applyNumberFormat="1" applyFont="1" applyFill="1" applyBorder="1" applyAlignment="1">
      <alignment horizontal="center"/>
    </xf>
    <xf numFmtId="166" fontId="12" fillId="20" borderId="38" xfId="1" applyNumberFormat="1" applyFont="1" applyFill="1" applyBorder="1" applyAlignment="1">
      <alignment horizontal="center"/>
    </xf>
    <xf numFmtId="166" fontId="12" fillId="20" borderId="49" xfId="1" applyNumberFormat="1" applyFont="1" applyFill="1" applyBorder="1" applyAlignment="1">
      <alignment horizontal="center"/>
    </xf>
    <xf numFmtId="43" fontId="0" fillId="18" borderId="9" xfId="1" applyFont="1" applyFill="1" applyBorder="1" applyAlignment="1">
      <alignment horizontal="center"/>
    </xf>
    <xf numFmtId="43" fontId="0" fillId="18" borderId="8" xfId="1" applyFont="1" applyFill="1" applyBorder="1" applyAlignment="1">
      <alignment horizontal="center"/>
    </xf>
    <xf numFmtId="43" fontId="0" fillId="18" borderId="0" xfId="1" applyFont="1" applyFill="1" applyBorder="1" applyAlignment="1">
      <alignment horizontal="center"/>
    </xf>
    <xf numFmtId="43" fontId="0" fillId="18" borderId="17" xfId="1" applyFont="1" applyFill="1" applyBorder="1" applyAlignment="1">
      <alignment horizontal="center"/>
    </xf>
    <xf numFmtId="166" fontId="0" fillId="18" borderId="21" xfId="1" applyNumberFormat="1" applyFont="1" applyFill="1" applyBorder="1" applyAlignment="1">
      <alignment horizontal="center"/>
    </xf>
    <xf numFmtId="43" fontId="0" fillId="18" borderId="21" xfId="1" applyFont="1" applyFill="1" applyBorder="1" applyAlignment="1">
      <alignment horizontal="center"/>
    </xf>
    <xf numFmtId="43" fontId="0" fillId="18" borderId="22" xfId="1" applyFont="1" applyFill="1" applyBorder="1" applyAlignment="1">
      <alignment horizontal="center"/>
    </xf>
    <xf numFmtId="43" fontId="0" fillId="18" borderId="19" xfId="1" applyFont="1" applyFill="1" applyBorder="1" applyAlignment="1">
      <alignment horizontal="center"/>
    </xf>
    <xf numFmtId="43" fontId="0" fillId="18" borderId="23" xfId="1" applyFont="1" applyFill="1" applyBorder="1" applyAlignment="1">
      <alignment horizontal="center"/>
    </xf>
    <xf numFmtId="43" fontId="0" fillId="20" borderId="9" xfId="1" applyFont="1" applyFill="1" applyBorder="1" applyAlignment="1">
      <alignment horizontal="center"/>
    </xf>
    <xf numFmtId="43" fontId="0" fillId="18" borderId="10" xfId="1" applyFont="1" applyFill="1" applyBorder="1" applyAlignment="1">
      <alignment horizontal="center"/>
    </xf>
    <xf numFmtId="43" fontId="0" fillId="18" borderId="11" xfId="1" applyFont="1" applyFill="1" applyBorder="1" applyAlignment="1">
      <alignment horizontal="center"/>
    </xf>
    <xf numFmtId="43" fontId="0" fillId="18" borderId="12" xfId="1" applyFont="1" applyFill="1" applyBorder="1" applyAlignment="1">
      <alignment horizontal="center"/>
    </xf>
    <xf numFmtId="43" fontId="0" fillId="18" borderId="18" xfId="1" applyFont="1" applyFill="1" applyBorder="1" applyAlignment="1">
      <alignment horizontal="center"/>
    </xf>
    <xf numFmtId="43" fontId="0" fillId="18" borderId="20" xfId="1" applyFont="1" applyFill="1" applyBorder="1" applyAlignment="1">
      <alignment horizontal="center"/>
    </xf>
    <xf numFmtId="166" fontId="0" fillId="18" borderId="33" xfId="1" applyNumberFormat="1" applyFont="1" applyFill="1" applyBorder="1" applyAlignment="1">
      <alignment horizontal="center"/>
    </xf>
    <xf numFmtId="43" fontId="0" fillId="20" borderId="13" xfId="1" applyFont="1" applyFill="1" applyBorder="1" applyAlignment="1">
      <alignment horizontal="center"/>
    </xf>
    <xf numFmtId="43" fontId="0" fillId="18" borderId="33" xfId="1" applyFont="1" applyFill="1" applyBorder="1" applyAlignment="1">
      <alignment horizontal="center"/>
    </xf>
    <xf numFmtId="43" fontId="0" fillId="18" borderId="14" xfId="1" applyFont="1" applyFill="1" applyBorder="1" applyAlignment="1">
      <alignment horizontal="center"/>
    </xf>
    <xf numFmtId="43" fontId="0" fillId="18" borderId="15" xfId="1" applyFont="1" applyFill="1" applyBorder="1" applyAlignment="1">
      <alignment horizontal="center"/>
    </xf>
    <xf numFmtId="166" fontId="0" fillId="20" borderId="21" xfId="1" applyNumberFormat="1" applyFont="1" applyFill="1" applyBorder="1" applyAlignment="1">
      <alignment horizontal="center"/>
    </xf>
    <xf numFmtId="43" fontId="0" fillId="20" borderId="10" xfId="1" applyFont="1" applyFill="1" applyBorder="1" applyAlignment="1">
      <alignment horizontal="center"/>
    </xf>
    <xf numFmtId="43" fontId="0" fillId="20" borderId="18" xfId="1" applyFont="1" applyFill="1" applyBorder="1" applyAlignment="1">
      <alignment horizontal="center"/>
    </xf>
    <xf numFmtId="43" fontId="0" fillId="20" borderId="20" xfId="1" applyFont="1" applyFill="1" applyBorder="1" applyAlignment="1">
      <alignment horizontal="center"/>
    </xf>
    <xf numFmtId="166" fontId="0" fillId="18" borderId="9" xfId="1" applyNumberFormat="1" applyFont="1" applyFill="1" applyBorder="1" applyAlignment="1">
      <alignment horizontal="center"/>
    </xf>
    <xf numFmtId="43" fontId="0" fillId="18" borderId="16" xfId="1" applyFont="1" applyFill="1" applyBorder="1" applyAlignment="1">
      <alignment horizontal="center"/>
    </xf>
    <xf numFmtId="43" fontId="0" fillId="18" borderId="6" xfId="1" applyFont="1" applyFill="1" applyBorder="1" applyAlignment="1">
      <alignment horizontal="center"/>
    </xf>
    <xf numFmtId="43" fontId="0" fillId="18" borderId="10" xfId="1" applyFont="1" applyFill="1" applyBorder="1" applyAlignment="1">
      <alignment horizontal="center" wrapText="1"/>
    </xf>
    <xf numFmtId="43" fontId="0" fillId="18" borderId="11" xfId="1" applyFont="1" applyFill="1" applyBorder="1" applyAlignment="1">
      <alignment horizontal="center" wrapText="1"/>
    </xf>
    <xf numFmtId="43" fontId="0" fillId="18" borderId="12" xfId="1" applyFont="1" applyFill="1" applyBorder="1" applyAlignment="1">
      <alignment horizontal="center" wrapText="1"/>
    </xf>
    <xf numFmtId="43" fontId="0" fillId="18" borderId="16" xfId="1" applyFont="1" applyFill="1" applyBorder="1" applyAlignment="1">
      <alignment horizontal="center" wrapText="1"/>
    </xf>
    <xf numFmtId="43" fontId="0" fillId="18" borderId="0" xfId="1" applyFont="1" applyFill="1" applyBorder="1" applyAlignment="1">
      <alignment horizontal="center" wrapText="1"/>
    </xf>
    <xf numFmtId="43" fontId="0" fillId="18" borderId="6" xfId="1" applyFont="1" applyFill="1" applyBorder="1" applyAlignment="1">
      <alignment horizontal="center" wrapText="1"/>
    </xf>
    <xf numFmtId="43" fontId="0" fillId="18" borderId="18" xfId="1" applyFont="1" applyFill="1" applyBorder="1" applyAlignment="1">
      <alignment horizontal="center" wrapText="1"/>
    </xf>
    <xf numFmtId="43" fontId="0" fillId="18" borderId="19" xfId="1" applyFont="1" applyFill="1" applyBorder="1" applyAlignment="1">
      <alignment horizontal="center" wrapText="1"/>
    </xf>
    <xf numFmtId="43" fontId="0" fillId="18" borderId="20" xfId="1" applyFont="1" applyFill="1" applyBorder="1" applyAlignment="1">
      <alignment horizontal="center" wrapText="1"/>
    </xf>
    <xf numFmtId="43" fontId="0" fillId="18" borderId="24" xfId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43" fontId="0" fillId="18" borderId="25" xfId="1" applyFont="1" applyFill="1" applyBorder="1" applyAlignment="1">
      <alignment horizontal="center"/>
    </xf>
    <xf numFmtId="43" fontId="0" fillId="18" borderId="27" xfId="1" applyFont="1" applyFill="1" applyBorder="1" applyAlignment="1">
      <alignment horizontal="center"/>
    </xf>
    <xf numFmtId="43" fontId="0" fillId="18" borderId="26" xfId="1" applyFont="1" applyFill="1" applyBorder="1" applyAlignment="1">
      <alignment horizontal="center"/>
    </xf>
    <xf numFmtId="43" fontId="0" fillId="18" borderId="28" xfId="1" applyFont="1" applyFill="1" applyBorder="1" applyAlignment="1">
      <alignment horizontal="center"/>
    </xf>
    <xf numFmtId="43" fontId="0" fillId="19" borderId="8" xfId="1" applyFont="1" applyFill="1" applyBorder="1" applyAlignment="1">
      <alignment horizontal="center"/>
    </xf>
    <xf numFmtId="43" fontId="0" fillId="19" borderId="0" xfId="1" applyFont="1" applyFill="1" applyBorder="1" applyAlignment="1">
      <alignment horizontal="center"/>
    </xf>
    <xf numFmtId="43" fontId="0" fillId="19" borderId="17" xfId="1" applyFont="1" applyFill="1" applyBorder="1" applyAlignment="1">
      <alignment horizontal="center"/>
    </xf>
    <xf numFmtId="43" fontId="0" fillId="19" borderId="14" xfId="1" applyFont="1" applyFill="1" applyBorder="1" applyAlignment="1">
      <alignment horizontal="center"/>
    </xf>
    <xf numFmtId="43" fontId="0" fillId="19" borderId="11" xfId="1" applyFont="1" applyFill="1" applyBorder="1" applyAlignment="1">
      <alignment horizontal="center"/>
    </xf>
    <xf numFmtId="43" fontId="0" fillId="19" borderId="15" xfId="1" applyFont="1" applyFill="1" applyBorder="1" applyAlignment="1">
      <alignment horizontal="center"/>
    </xf>
    <xf numFmtId="43" fontId="0" fillId="18" borderId="10" xfId="1" applyFont="1" applyFill="1" applyBorder="1" applyAlignment="1">
      <alignment horizontal="center" vertical="center"/>
    </xf>
    <xf numFmtId="43" fontId="0" fillId="18" borderId="11" xfId="1" applyFont="1" applyFill="1" applyBorder="1" applyAlignment="1">
      <alignment horizontal="center" vertical="center"/>
    </xf>
    <xf numFmtId="43" fontId="0" fillId="18" borderId="12" xfId="1" applyFont="1" applyFill="1" applyBorder="1" applyAlignment="1">
      <alignment horizontal="center" vertical="center"/>
    </xf>
    <xf numFmtId="43" fontId="0" fillId="18" borderId="16" xfId="1" applyFont="1" applyFill="1" applyBorder="1" applyAlignment="1">
      <alignment horizontal="center" vertical="center"/>
    </xf>
    <xf numFmtId="43" fontId="0" fillId="18" borderId="0" xfId="1" applyFont="1" applyFill="1" applyBorder="1" applyAlignment="1">
      <alignment horizontal="center" vertical="center"/>
    </xf>
    <xf numFmtId="43" fontId="0" fillId="18" borderId="6" xfId="1" applyFont="1" applyFill="1" applyBorder="1" applyAlignment="1">
      <alignment horizontal="center" vertical="center"/>
    </xf>
    <xf numFmtId="43" fontId="0" fillId="18" borderId="18" xfId="1" applyFont="1" applyFill="1" applyBorder="1" applyAlignment="1">
      <alignment horizontal="center" vertical="center"/>
    </xf>
    <xf numFmtId="43" fontId="0" fillId="18" borderId="19" xfId="1" applyFont="1" applyFill="1" applyBorder="1" applyAlignment="1">
      <alignment horizontal="center" vertical="center"/>
    </xf>
    <xf numFmtId="43" fontId="0" fillId="18" borderId="20" xfId="1" applyFont="1" applyFill="1" applyBorder="1" applyAlignment="1">
      <alignment horizontal="center" vertical="center"/>
    </xf>
    <xf numFmtId="166" fontId="0" fillId="19" borderId="42" xfId="1" applyNumberFormat="1" applyFont="1" applyFill="1" applyBorder="1" applyAlignment="1">
      <alignment horizontal="center"/>
    </xf>
    <xf numFmtId="166" fontId="0" fillId="19" borderId="40" xfId="1" applyNumberFormat="1" applyFont="1" applyFill="1" applyBorder="1" applyAlignment="1">
      <alignment horizontal="center"/>
    </xf>
    <xf numFmtId="166" fontId="0" fillId="19" borderId="43" xfId="1" applyNumberFormat="1" applyFont="1" applyFill="1" applyBorder="1" applyAlignment="1">
      <alignment horizontal="center"/>
    </xf>
    <xf numFmtId="43" fontId="0" fillId="18" borderId="42" xfId="1" applyFont="1" applyFill="1" applyBorder="1" applyAlignment="1">
      <alignment horizontal="center"/>
    </xf>
    <xf numFmtId="43" fontId="0" fillId="18" borderId="40" xfId="1" applyFont="1" applyFill="1" applyBorder="1" applyAlignment="1">
      <alignment horizontal="center"/>
    </xf>
    <xf numFmtId="43" fontId="0" fillId="18" borderId="43" xfId="1" applyFont="1" applyFill="1" applyBorder="1" applyAlignment="1">
      <alignment horizontal="center"/>
    </xf>
    <xf numFmtId="166" fontId="0" fillId="18" borderId="14" xfId="1" applyNumberFormat="1" applyFont="1" applyFill="1" applyBorder="1" applyAlignment="1">
      <alignment horizontal="center"/>
    </xf>
    <xf numFmtId="166" fontId="0" fillId="18" borderId="11" xfId="1" applyNumberFormat="1" applyFont="1" applyFill="1" applyBorder="1" applyAlignment="1">
      <alignment horizontal="center"/>
    </xf>
    <xf numFmtId="166" fontId="0" fillId="18" borderId="12" xfId="1" applyNumberFormat="1" applyFont="1" applyFill="1" applyBorder="1" applyAlignment="1">
      <alignment horizontal="center"/>
    </xf>
    <xf numFmtId="166" fontId="0" fillId="18" borderId="2" xfId="1" applyNumberFormat="1" applyFont="1" applyFill="1" applyBorder="1" applyAlignment="1">
      <alignment horizontal="center"/>
    </xf>
    <xf numFmtId="166" fontId="0" fillId="18" borderId="3" xfId="1" applyNumberFormat="1" applyFont="1" applyFill="1" applyBorder="1" applyAlignment="1">
      <alignment horizontal="center"/>
    </xf>
    <xf numFmtId="166" fontId="0" fillId="18" borderId="4" xfId="1" applyNumberFormat="1" applyFont="1" applyFill="1" applyBorder="1" applyAlignment="1">
      <alignment horizontal="center"/>
    </xf>
    <xf numFmtId="43" fontId="0" fillId="19" borderId="42" xfId="1" applyFont="1" applyFill="1" applyBorder="1" applyAlignment="1">
      <alignment horizontal="center"/>
    </xf>
    <xf numFmtId="43" fontId="0" fillId="19" borderId="40" xfId="1" applyFont="1" applyFill="1" applyBorder="1" applyAlignment="1">
      <alignment horizontal="center"/>
    </xf>
    <xf numFmtId="43" fontId="0" fillId="19" borderId="43" xfId="1" applyFont="1" applyFill="1" applyBorder="1" applyAlignment="1">
      <alignment horizontal="center"/>
    </xf>
    <xf numFmtId="43" fontId="0" fillId="18" borderId="2" xfId="1" applyFont="1" applyFill="1" applyBorder="1" applyAlignment="1">
      <alignment horizontal="center"/>
    </xf>
    <xf numFmtId="43" fontId="0" fillId="18" borderId="3" xfId="1" applyFont="1" applyFill="1" applyBorder="1" applyAlignment="1">
      <alignment horizontal="center"/>
    </xf>
    <xf numFmtId="43" fontId="0" fillId="18" borderId="4" xfId="1" applyFont="1" applyFill="1" applyBorder="1" applyAlignment="1">
      <alignment horizontal="center"/>
    </xf>
    <xf numFmtId="43" fontId="0" fillId="18" borderId="30" xfId="1" applyFont="1" applyFill="1" applyBorder="1" applyAlignment="1">
      <alignment horizontal="center"/>
    </xf>
    <xf numFmtId="166" fontId="0" fillId="19" borderId="30" xfId="1" applyNumberFormat="1" applyFont="1" applyFill="1" applyBorder="1" applyAlignment="1">
      <alignment horizontal="center"/>
    </xf>
    <xf numFmtId="43" fontId="0" fillId="19" borderId="30" xfId="1" applyFont="1" applyFill="1" applyBorder="1" applyAlignment="1">
      <alignment horizontal="center"/>
    </xf>
    <xf numFmtId="43" fontId="0" fillId="19" borderId="29" xfId="1" applyFont="1" applyFill="1" applyBorder="1" applyAlignment="1">
      <alignment horizontal="center"/>
    </xf>
    <xf numFmtId="43" fontId="0" fillId="20" borderId="10" xfId="1" applyFont="1" applyFill="1" applyBorder="1" applyAlignment="1">
      <alignment horizontal="center" vertical="center" wrapText="1"/>
    </xf>
    <xf numFmtId="43" fontId="0" fillId="20" borderId="11" xfId="1" applyFont="1" applyFill="1" applyBorder="1" applyAlignment="1">
      <alignment horizontal="center" vertical="center" wrapText="1"/>
    </xf>
    <xf numFmtId="43" fontId="0" fillId="20" borderId="12" xfId="1" applyFont="1" applyFill="1" applyBorder="1" applyAlignment="1">
      <alignment horizontal="center" vertical="center" wrapText="1"/>
    </xf>
    <xf numFmtId="43" fontId="0" fillId="20" borderId="16" xfId="1" applyFont="1" applyFill="1" applyBorder="1" applyAlignment="1">
      <alignment horizontal="center" vertical="center" wrapText="1"/>
    </xf>
    <xf numFmtId="43" fontId="0" fillId="20" borderId="0" xfId="1" applyFont="1" applyFill="1" applyBorder="1" applyAlignment="1">
      <alignment horizontal="center" vertical="center" wrapText="1"/>
    </xf>
    <xf numFmtId="43" fontId="0" fillId="20" borderId="6" xfId="1" applyFont="1" applyFill="1" applyBorder="1" applyAlignment="1">
      <alignment horizontal="center" vertical="center" wrapText="1"/>
    </xf>
    <xf numFmtId="43" fontId="0" fillId="20" borderId="18" xfId="1" applyFont="1" applyFill="1" applyBorder="1" applyAlignment="1">
      <alignment horizontal="center" vertical="center" wrapText="1"/>
    </xf>
    <xf numFmtId="43" fontId="0" fillId="20" borderId="19" xfId="1" applyFont="1" applyFill="1" applyBorder="1" applyAlignment="1">
      <alignment horizontal="center" vertical="center" wrapText="1"/>
    </xf>
    <xf numFmtId="43" fontId="0" fillId="20" borderId="20" xfId="1" applyFont="1" applyFill="1" applyBorder="1" applyAlignment="1">
      <alignment horizontal="center" vertical="center" wrapText="1"/>
    </xf>
    <xf numFmtId="43" fontId="0" fillId="18" borderId="37" xfId="1" applyFont="1" applyFill="1" applyBorder="1" applyAlignment="1">
      <alignment horizontal="center"/>
    </xf>
    <xf numFmtId="43" fontId="0" fillId="18" borderId="38" xfId="1" applyFont="1" applyFill="1" applyBorder="1" applyAlignment="1">
      <alignment horizontal="center"/>
    </xf>
    <xf numFmtId="43" fontId="0" fillId="18" borderId="39" xfId="1" applyFont="1" applyFill="1" applyBorder="1" applyAlignment="1">
      <alignment horizontal="center"/>
    </xf>
    <xf numFmtId="166" fontId="0" fillId="18" borderId="34" xfId="1" applyNumberFormat="1" applyFont="1" applyFill="1" applyBorder="1" applyAlignment="1">
      <alignment horizontal="center"/>
    </xf>
    <xf numFmtId="166" fontId="0" fillId="18" borderId="35" xfId="1" applyNumberFormat="1" applyFont="1" applyFill="1" applyBorder="1" applyAlignment="1">
      <alignment horizontal="center"/>
    </xf>
    <xf numFmtId="166" fontId="0" fillId="18" borderId="36" xfId="1" applyNumberFormat="1" applyFont="1" applyFill="1" applyBorder="1" applyAlignment="1">
      <alignment horizontal="center"/>
    </xf>
    <xf numFmtId="166" fontId="0" fillId="20" borderId="8" xfId="1" applyNumberFormat="1" applyFont="1" applyFill="1" applyBorder="1" applyAlignment="1">
      <alignment horizontal="center"/>
    </xf>
    <xf numFmtId="166" fontId="0" fillId="20" borderId="0" xfId="1" applyNumberFormat="1" applyFont="1" applyFill="1" applyBorder="1" applyAlignment="1">
      <alignment horizontal="center"/>
    </xf>
    <xf numFmtId="166" fontId="0" fillId="20" borderId="6" xfId="1" applyNumberFormat="1" applyFont="1" applyFill="1" applyBorder="1" applyAlignment="1">
      <alignment horizontal="center"/>
    </xf>
    <xf numFmtId="166" fontId="0" fillId="18" borderId="37" xfId="1" applyNumberFormat="1" applyFont="1" applyFill="1" applyBorder="1" applyAlignment="1">
      <alignment horizontal="center"/>
    </xf>
    <xf numFmtId="166" fontId="0" fillId="18" borderId="38" xfId="1" applyNumberFormat="1" applyFont="1" applyFill="1" applyBorder="1" applyAlignment="1">
      <alignment horizontal="center"/>
    </xf>
    <xf numFmtId="166" fontId="0" fillId="18" borderId="39" xfId="1" applyNumberFormat="1" applyFont="1" applyFill="1" applyBorder="1" applyAlignment="1">
      <alignment horizontal="center"/>
    </xf>
    <xf numFmtId="43" fontId="0" fillId="19" borderId="16" xfId="1" applyFont="1" applyFill="1" applyBorder="1" applyAlignment="1">
      <alignment horizontal="center" vertical="center"/>
    </xf>
    <xf numFmtId="43" fontId="0" fillId="19" borderId="0" xfId="1" applyFont="1" applyFill="1" applyBorder="1" applyAlignment="1">
      <alignment horizontal="center" vertical="center"/>
    </xf>
    <xf numFmtId="43" fontId="0" fillId="19" borderId="6" xfId="1" applyFont="1" applyFill="1" applyBorder="1" applyAlignment="1">
      <alignment horizontal="center" vertical="center"/>
    </xf>
    <xf numFmtId="43" fontId="0" fillId="19" borderId="18" xfId="1" applyFont="1" applyFill="1" applyBorder="1" applyAlignment="1">
      <alignment horizontal="center" vertical="center"/>
    </xf>
    <xf numFmtId="43" fontId="0" fillId="19" borderId="19" xfId="1" applyFont="1" applyFill="1" applyBorder="1" applyAlignment="1">
      <alignment horizontal="center" vertical="center"/>
    </xf>
    <xf numFmtId="43" fontId="0" fillId="19" borderId="20" xfId="1" applyFont="1" applyFill="1" applyBorder="1" applyAlignment="1">
      <alignment horizontal="center" vertical="center"/>
    </xf>
    <xf numFmtId="166" fontId="0" fillId="19" borderId="2" xfId="1" applyNumberFormat="1" applyFont="1" applyFill="1" applyBorder="1" applyAlignment="1">
      <alignment horizontal="center"/>
    </xf>
    <xf numFmtId="166" fontId="0" fillId="19" borderId="3" xfId="1" applyNumberFormat="1" applyFont="1" applyFill="1" applyBorder="1" applyAlignment="1">
      <alignment horizontal="center"/>
    </xf>
    <xf numFmtId="166" fontId="0" fillId="19" borderId="4" xfId="1" applyNumberFormat="1" applyFont="1" applyFill="1" applyBorder="1" applyAlignment="1">
      <alignment horizontal="center"/>
    </xf>
    <xf numFmtId="43" fontId="10" fillId="18" borderId="10" xfId="1" applyFont="1" applyFill="1" applyBorder="1" applyAlignment="1">
      <alignment horizontal="center" vertical="center"/>
    </xf>
    <xf numFmtId="43" fontId="10" fillId="18" borderId="11" xfId="1" applyFont="1" applyFill="1" applyBorder="1" applyAlignment="1">
      <alignment horizontal="center" vertical="center"/>
    </xf>
    <xf numFmtId="43" fontId="10" fillId="18" borderId="12" xfId="1" applyFont="1" applyFill="1" applyBorder="1" applyAlignment="1">
      <alignment horizontal="center" vertical="center"/>
    </xf>
    <xf numFmtId="43" fontId="10" fillId="18" borderId="16" xfId="1" applyFont="1" applyFill="1" applyBorder="1" applyAlignment="1">
      <alignment horizontal="center" vertical="center"/>
    </xf>
    <xf numFmtId="43" fontId="10" fillId="18" borderId="0" xfId="1" applyFont="1" applyFill="1" applyBorder="1" applyAlignment="1">
      <alignment horizontal="center" vertical="center"/>
    </xf>
    <xf numFmtId="43" fontId="10" fillId="18" borderId="6" xfId="1" applyFont="1" applyFill="1" applyBorder="1" applyAlignment="1">
      <alignment horizontal="center" vertical="center"/>
    </xf>
    <xf numFmtId="43" fontId="10" fillId="18" borderId="18" xfId="1" applyFont="1" applyFill="1" applyBorder="1" applyAlignment="1">
      <alignment horizontal="center" vertical="center"/>
    </xf>
    <xf numFmtId="43" fontId="10" fillId="18" borderId="19" xfId="1" applyFont="1" applyFill="1" applyBorder="1" applyAlignment="1">
      <alignment horizontal="center" vertical="center"/>
    </xf>
    <xf numFmtId="43" fontId="10" fillId="18" borderId="20" xfId="1" applyFont="1" applyFill="1" applyBorder="1" applyAlignment="1">
      <alignment horizontal="center" vertical="center"/>
    </xf>
    <xf numFmtId="166" fontId="0" fillId="19" borderId="34" xfId="1" applyNumberFormat="1" applyFont="1" applyFill="1" applyBorder="1" applyAlignment="1">
      <alignment horizontal="center"/>
    </xf>
    <xf numFmtId="166" fontId="0" fillId="19" borderId="35" xfId="1" applyNumberFormat="1" applyFont="1" applyFill="1" applyBorder="1" applyAlignment="1">
      <alignment horizontal="center"/>
    </xf>
    <xf numFmtId="166" fontId="0" fillId="19" borderId="36" xfId="1" applyNumberFormat="1" applyFont="1" applyFill="1" applyBorder="1" applyAlignment="1">
      <alignment horizontal="center"/>
    </xf>
    <xf numFmtId="43" fontId="0" fillId="19" borderId="34" xfId="1" applyFont="1" applyFill="1" applyBorder="1" applyAlignment="1">
      <alignment horizontal="center"/>
    </xf>
    <xf numFmtId="43" fontId="0" fillId="19" borderId="35" xfId="1" applyFont="1" applyFill="1" applyBorder="1" applyAlignment="1">
      <alignment horizontal="center"/>
    </xf>
    <xf numFmtId="43" fontId="0" fillId="19" borderId="36" xfId="1" applyFont="1" applyFill="1" applyBorder="1" applyAlignment="1">
      <alignment horizontal="center"/>
    </xf>
    <xf numFmtId="43" fontId="0" fillId="19" borderId="18" xfId="1" applyFont="1" applyFill="1" applyBorder="1" applyAlignment="1">
      <alignment horizontal="center"/>
    </xf>
    <xf numFmtId="43" fontId="0" fillId="19" borderId="19" xfId="1" applyFont="1" applyFill="1" applyBorder="1" applyAlignment="1">
      <alignment horizontal="center"/>
    </xf>
    <xf numFmtId="43" fontId="0" fillId="19" borderId="20" xfId="1" applyFont="1" applyFill="1" applyBorder="1" applyAlignment="1">
      <alignment horizontal="center"/>
    </xf>
    <xf numFmtId="166" fontId="0" fillId="19" borderId="37" xfId="1" applyNumberFormat="1" applyFont="1" applyFill="1" applyBorder="1" applyAlignment="1">
      <alignment horizontal="center"/>
    </xf>
    <xf numFmtId="166" fontId="0" fillId="19" borderId="38" xfId="1" applyNumberFormat="1" applyFont="1" applyFill="1" applyBorder="1" applyAlignment="1">
      <alignment horizontal="center"/>
    </xf>
    <xf numFmtId="166" fontId="0" fillId="19" borderId="39" xfId="1" applyNumberFormat="1" applyFont="1" applyFill="1" applyBorder="1" applyAlignment="1">
      <alignment horizontal="center"/>
    </xf>
    <xf numFmtId="43" fontId="0" fillId="19" borderId="37" xfId="1" applyFont="1" applyFill="1" applyBorder="1" applyAlignment="1">
      <alignment horizontal="center"/>
    </xf>
    <xf numFmtId="43" fontId="0" fillId="19" borderId="38" xfId="1" applyFont="1" applyFill="1" applyBorder="1" applyAlignment="1">
      <alignment horizontal="center"/>
    </xf>
    <xf numFmtId="43" fontId="0" fillId="19" borderId="39" xfId="1" applyFont="1" applyFill="1" applyBorder="1" applyAlignment="1">
      <alignment horizontal="center"/>
    </xf>
    <xf numFmtId="43" fontId="0" fillId="19" borderId="22" xfId="1" applyFont="1" applyFill="1" applyBorder="1" applyAlignment="1">
      <alignment horizontal="center"/>
    </xf>
    <xf numFmtId="43" fontId="0" fillId="19" borderId="23" xfId="1" applyFont="1" applyFill="1" applyBorder="1" applyAlignment="1">
      <alignment horizontal="center"/>
    </xf>
    <xf numFmtId="166" fontId="0" fillId="18" borderId="1" xfId="1" applyNumberFormat="1" applyFont="1" applyFill="1" applyBorder="1" applyAlignment="1">
      <alignment horizontal="center"/>
    </xf>
    <xf numFmtId="43" fontId="0" fillId="18" borderId="29" xfId="1" applyFont="1" applyFill="1" applyBorder="1" applyAlignment="1">
      <alignment horizontal="center"/>
    </xf>
    <xf numFmtId="166" fontId="0" fillId="18" borderId="42" xfId="1" applyNumberFormat="1" applyFont="1" applyFill="1" applyBorder="1" applyAlignment="1">
      <alignment horizontal="center"/>
    </xf>
    <xf numFmtId="166" fontId="0" fillId="18" borderId="40" xfId="1" applyNumberFormat="1" applyFont="1" applyFill="1" applyBorder="1" applyAlignment="1">
      <alignment horizontal="center"/>
    </xf>
    <xf numFmtId="166" fontId="0" fillId="18" borderId="43" xfId="1" applyNumberFormat="1" applyFont="1" applyFill="1" applyBorder="1" applyAlignment="1">
      <alignment horizontal="center"/>
    </xf>
    <xf numFmtId="43" fontId="0" fillId="18" borderId="34" xfId="1" applyFont="1" applyFill="1" applyBorder="1" applyAlignment="1">
      <alignment horizontal="center"/>
    </xf>
    <xf numFmtId="43" fontId="0" fillId="18" borderId="35" xfId="1" applyFont="1" applyFill="1" applyBorder="1" applyAlignment="1">
      <alignment horizontal="center"/>
    </xf>
    <xf numFmtId="43" fontId="0" fillId="18" borderId="36" xfId="1" applyFont="1" applyFill="1" applyBorder="1" applyAlignment="1">
      <alignment horizontal="center"/>
    </xf>
    <xf numFmtId="166" fontId="0" fillId="18" borderId="24" xfId="1" applyNumberFormat="1" applyFont="1" applyFill="1" applyBorder="1" applyAlignment="1">
      <alignment horizontal="center"/>
    </xf>
    <xf numFmtId="43" fontId="0" fillId="18" borderId="1" xfId="1" applyFont="1" applyFill="1" applyBorder="1" applyAlignment="1">
      <alignment horizontal="center"/>
    </xf>
    <xf numFmtId="43" fontId="0" fillId="19" borderId="27" xfId="1" applyFont="1" applyFill="1" applyBorder="1" applyAlignment="1">
      <alignment horizontal="center"/>
    </xf>
    <xf numFmtId="43" fontId="0" fillId="19" borderId="26" xfId="1" applyFont="1" applyFill="1" applyBorder="1" applyAlignment="1">
      <alignment horizontal="center"/>
    </xf>
    <xf numFmtId="43" fontId="0" fillId="19" borderId="28" xfId="1" applyFont="1" applyFill="1" applyBorder="1" applyAlignment="1">
      <alignment horizontal="center"/>
    </xf>
    <xf numFmtId="43" fontId="0" fillId="20" borderId="27" xfId="1" applyFont="1" applyFill="1" applyBorder="1" applyAlignment="1">
      <alignment horizontal="center"/>
    </xf>
    <xf numFmtId="43" fontId="0" fillId="20" borderId="26" xfId="1" applyFont="1" applyFill="1" applyBorder="1" applyAlignment="1">
      <alignment horizontal="center"/>
    </xf>
    <xf numFmtId="43" fontId="0" fillId="20" borderId="28" xfId="1" applyFont="1" applyFill="1" applyBorder="1" applyAlignment="1">
      <alignment horizontal="center"/>
    </xf>
    <xf numFmtId="166" fontId="0" fillId="19" borderId="1" xfId="1" applyNumberFormat="1" applyFont="1" applyFill="1" applyBorder="1" applyAlignment="1">
      <alignment horizontal="center"/>
    </xf>
    <xf numFmtId="43" fontId="0" fillId="19" borderId="1" xfId="1" applyFont="1" applyFill="1" applyBorder="1" applyAlignment="1">
      <alignment horizontal="center"/>
    </xf>
    <xf numFmtId="43" fontId="14" fillId="0" borderId="42" xfId="1" applyFont="1" applyFill="1" applyBorder="1" applyAlignment="1">
      <alignment horizontal="center"/>
    </xf>
    <xf numFmtId="43" fontId="14" fillId="0" borderId="40" xfId="1" applyFont="1" applyFill="1" applyBorder="1" applyAlignment="1">
      <alignment horizontal="center"/>
    </xf>
    <xf numFmtId="43" fontId="0" fillId="19" borderId="2" xfId="1" applyFont="1" applyFill="1" applyBorder="1" applyAlignment="1">
      <alignment horizontal="center"/>
    </xf>
    <xf numFmtId="43" fontId="0" fillId="19" borderId="3" xfId="1" applyFont="1" applyFill="1" applyBorder="1" applyAlignment="1">
      <alignment horizontal="center"/>
    </xf>
    <xf numFmtId="43" fontId="0" fillId="19" borderId="4" xfId="1" applyFont="1" applyFill="1" applyBorder="1" applyAlignment="1">
      <alignment horizontal="center"/>
    </xf>
    <xf numFmtId="43" fontId="0" fillId="19" borderId="16" xfId="1" applyFont="1" applyFill="1" applyBorder="1" applyAlignment="1">
      <alignment horizontal="center" wrapText="1"/>
    </xf>
    <xf numFmtId="43" fontId="0" fillId="19" borderId="0" xfId="1" applyFont="1" applyFill="1" applyBorder="1" applyAlignment="1">
      <alignment horizontal="center" wrapText="1"/>
    </xf>
    <xf numFmtId="43" fontId="0" fillId="19" borderId="6" xfId="1" applyFont="1" applyFill="1" applyBorder="1" applyAlignment="1">
      <alignment horizontal="center" wrapText="1"/>
    </xf>
    <xf numFmtId="166" fontId="0" fillId="20" borderId="50" xfId="1" applyNumberFormat="1" applyFont="1" applyFill="1" applyBorder="1" applyAlignment="1">
      <alignment horizontal="center"/>
    </xf>
    <xf numFmtId="43" fontId="0" fillId="19" borderId="31" xfId="1" applyFont="1" applyFill="1" applyBorder="1" applyAlignment="1">
      <alignment horizontal="center" wrapText="1"/>
    </xf>
    <xf numFmtId="43" fontId="0" fillId="19" borderId="26" xfId="1" applyFont="1" applyFill="1" applyBorder="1" applyAlignment="1">
      <alignment horizontal="center" wrapText="1"/>
    </xf>
    <xf numFmtId="43" fontId="0" fillId="19" borderId="32" xfId="1" applyFont="1" applyFill="1" applyBorder="1" applyAlignment="1">
      <alignment horizontal="center" wrapText="1"/>
    </xf>
    <xf numFmtId="166" fontId="0" fillId="19" borderId="27" xfId="1" applyNumberFormat="1" applyFont="1" applyFill="1" applyBorder="1" applyAlignment="1">
      <alignment horizontal="center"/>
    </xf>
    <xf numFmtId="166" fontId="0" fillId="19" borderId="26" xfId="1" applyNumberFormat="1" applyFont="1" applyFill="1" applyBorder="1" applyAlignment="1">
      <alignment horizontal="center"/>
    </xf>
    <xf numFmtId="166" fontId="0" fillId="19" borderId="32" xfId="1" applyNumberFormat="1" applyFont="1" applyFill="1" applyBorder="1" applyAlignment="1">
      <alignment horizontal="center"/>
    </xf>
    <xf numFmtId="43" fontId="0" fillId="19" borderId="32" xfId="1" applyFont="1" applyFill="1" applyBorder="1" applyAlignment="1">
      <alignment horizontal="center"/>
    </xf>
    <xf numFmtId="43" fontId="0" fillId="19" borderId="31" xfId="1" applyFont="1" applyFill="1" applyBorder="1" applyAlignment="1">
      <alignment horizontal="center"/>
    </xf>
    <xf numFmtId="43" fontId="12" fillId="19" borderId="34" xfId="1" applyFont="1" applyFill="1" applyBorder="1" applyAlignment="1">
      <alignment horizontal="center"/>
    </xf>
    <xf numFmtId="43" fontId="12" fillId="19" borderId="35" xfId="1" applyFont="1" applyFill="1" applyBorder="1" applyAlignment="1">
      <alignment horizontal="center"/>
    </xf>
    <xf numFmtId="43" fontId="12" fillId="19" borderId="47" xfId="1" applyFont="1" applyFill="1" applyBorder="1" applyAlignment="1">
      <alignment horizontal="center"/>
    </xf>
    <xf numFmtId="43" fontId="12" fillId="19" borderId="2" xfId="1" applyFont="1" applyFill="1" applyBorder="1" applyAlignment="1">
      <alignment horizontal="center"/>
    </xf>
    <xf numFmtId="43" fontId="12" fillId="19" borderId="3" xfId="1" applyFont="1" applyFill="1" applyBorder="1" applyAlignment="1">
      <alignment horizontal="center"/>
    </xf>
    <xf numFmtId="43" fontId="12" fillId="19" borderId="48" xfId="1" applyFont="1" applyFill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43" fontId="12" fillId="19" borderId="37" xfId="1" applyFont="1" applyFill="1" applyBorder="1" applyAlignment="1">
      <alignment horizontal="center"/>
    </xf>
    <xf numFmtId="43" fontId="12" fillId="19" borderId="38" xfId="1" applyFont="1" applyFill="1" applyBorder="1" applyAlignment="1">
      <alignment horizontal="center"/>
    </xf>
    <xf numFmtId="43" fontId="12" fillId="19" borderId="49" xfId="1" applyFont="1" applyFill="1" applyBorder="1" applyAlignment="1">
      <alignment horizontal="center"/>
    </xf>
    <xf numFmtId="164" fontId="0" fillId="0" borderId="51" xfId="0" applyNumberFormat="1" applyBorder="1" applyAlignment="1">
      <alignment horizontal="center"/>
    </xf>
    <xf numFmtId="164" fontId="15" fillId="0" borderId="2" xfId="0" applyNumberFormat="1" applyFont="1" applyBorder="1" applyAlignment="1">
      <alignment horizontal="center"/>
    </xf>
    <xf numFmtId="164" fontId="15" fillId="0" borderId="3" xfId="0" applyNumberFormat="1" applyFont="1" applyBorder="1" applyAlignment="1">
      <alignment horizontal="center"/>
    </xf>
    <xf numFmtId="164" fontId="15" fillId="0" borderId="4" xfId="0" applyNumberFormat="1" applyFont="1" applyBorder="1" applyAlignment="1">
      <alignment horizontal="center"/>
    </xf>
    <xf numFmtId="0" fontId="13" fillId="0" borderId="0" xfId="0" applyFont="1"/>
    <xf numFmtId="0" fontId="13" fillId="3" borderId="1" xfId="0" applyFont="1" applyFill="1" applyBorder="1" applyAlignment="1">
      <alignment horizontal="center"/>
    </xf>
    <xf numFmtId="43" fontId="16" fillId="22" borderId="1" xfId="1" applyFont="1" applyFill="1" applyBorder="1" applyAlignment="1">
      <alignment horizontal="center"/>
    </xf>
    <xf numFmtId="164" fontId="10" fillId="0" borderId="2" xfId="0" applyNumberFormat="1" applyFont="1" applyBorder="1" applyAlignment="1">
      <alignment horizontal="center" wrapText="1"/>
    </xf>
    <xf numFmtId="164" fontId="10" fillId="0" borderId="3" xfId="0" applyNumberFormat="1" applyFont="1" applyBorder="1" applyAlignment="1">
      <alignment horizontal="center" wrapText="1"/>
    </xf>
    <xf numFmtId="164" fontId="10" fillId="0" borderId="4" xfId="0" applyNumberFormat="1" applyFont="1" applyBorder="1" applyAlignment="1">
      <alignment horizontal="center" wrapText="1"/>
    </xf>
    <xf numFmtId="0" fontId="10" fillId="3" borderId="0" xfId="0" applyFont="1" applyFill="1"/>
    <xf numFmtId="43" fontId="16" fillId="5" borderId="3" xfId="1" applyFont="1" applyFill="1" applyBorder="1" applyAlignment="1">
      <alignment horizontal="center"/>
    </xf>
    <xf numFmtId="43" fontId="16" fillId="5" borderId="4" xfId="1" applyFont="1" applyFill="1" applyBorder="1" applyAlignment="1">
      <alignment horizontal="center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 u="sng"/>
              <a:t>اجمالي الاعمال المنجزة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270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25A-4E2F-A3AA-ABCF531FD81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25A-4E2F-A3AA-ABCF531FD81F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25A-4E2F-A3AA-ABCF531FD81F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25A-4E2F-A3AA-ABCF531FD81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25A-4E2F-A3AA-ABCF531FD81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25A-4E2F-A3AA-ABCF531FD8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'الاعمال المنجزة المعدل'!$AL$27:$AQ$27</c:f>
              <c:strCache>
                <c:ptCount val="6"/>
                <c:pt idx="0">
                  <c:v>إعادة التدوير</c:v>
                </c:pt>
                <c:pt idx="1">
                  <c:v>الأساس الحبيبي </c:v>
                </c:pt>
                <c:pt idx="2">
                  <c:v>طبقة التشريب</c:v>
                </c:pt>
                <c:pt idx="3">
                  <c:v>الاسفلت المحسن</c:v>
                </c:pt>
                <c:pt idx="4">
                  <c:v>الطريق الخدمي</c:v>
                </c:pt>
                <c:pt idx="5">
                  <c:v>المستهدف</c:v>
                </c:pt>
              </c:strCache>
            </c:strRef>
          </c:cat>
          <c:val>
            <c:numRef>
              <c:f>'الاعمال المنجزة المعدل'!$AL$28:$AQ$28</c:f>
              <c:numCache>
                <c:formatCode>_(* #,##0.00_);_(* \(#,##0.00\);_(* "-"??_);_(@_)</c:formatCode>
                <c:ptCount val="6"/>
                <c:pt idx="0">
                  <c:v>220203</c:v>
                </c:pt>
                <c:pt idx="1">
                  <c:v>215483</c:v>
                </c:pt>
                <c:pt idx="2">
                  <c:v>214303</c:v>
                </c:pt>
                <c:pt idx="3">
                  <c:v>209923</c:v>
                </c:pt>
                <c:pt idx="4" formatCode="_-* #,##0.00\ _د_._ل_._‏_-;\-* #,##0.00\ _د_._ل_._‏_-;_-* &quot;-&quot;??\ _د_._ل_._‏_-;_-@_-">
                  <c:v>226263</c:v>
                </c:pt>
                <c:pt idx="5">
                  <c:v>226263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5A-4E2F-A3AA-ABCF531FD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48032"/>
        <c:axId val="37549568"/>
      </c:barChart>
      <c:catAx>
        <c:axId val="375480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37549568"/>
        <c:crosses val="autoZero"/>
        <c:auto val="1"/>
        <c:lblAlgn val="ctr"/>
        <c:lblOffset val="100"/>
        <c:noMultiLvlLbl val="0"/>
      </c:catAx>
      <c:valAx>
        <c:axId val="3754956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3754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ar-SA" sz="1400" b="0" i="0" u="sng" baseline="0">
                <a:effectLst/>
              </a:rPr>
              <a:t>الاعمال المنجزة</a:t>
            </a:r>
            <a:endParaRPr lang="ar-SA" sz="1400" u="sng">
              <a:effectLst/>
            </a:endParaRPr>
          </a:p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u="sng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ar-SA" sz="1400" u="sng"/>
              <a:t>القطاع</a:t>
            </a:r>
            <a:r>
              <a:rPr lang="ar-SA" sz="1400" u="sng" baseline="0"/>
              <a:t> (</a:t>
            </a:r>
            <a:r>
              <a:rPr lang="en-US" sz="1400" u="sng" baseline="0"/>
              <a:t>A</a:t>
            </a:r>
            <a:r>
              <a:rPr lang="ar-SA" sz="1400" u="sng" baseline="0"/>
              <a:t>)</a:t>
            </a:r>
            <a:endParaRPr lang="ar-SA" sz="1400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sng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103-4E8C-B423-F2E7574B639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103-4E8C-B423-F2E7574B6394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103-4E8C-B423-F2E7574B6394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103-4E8C-B423-F2E7574B639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103-4E8C-B423-F2E7574B639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103-4E8C-B423-F2E7574B63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'الاعمال المنجزة المعدل'!$AL$5:$AQ$5</c:f>
              <c:strCache>
                <c:ptCount val="6"/>
                <c:pt idx="0">
                  <c:v>إعادة التدوير</c:v>
                </c:pt>
                <c:pt idx="1">
                  <c:v>الأساس الحبيبي </c:v>
                </c:pt>
                <c:pt idx="2">
                  <c:v>طبقة التشريب</c:v>
                </c:pt>
                <c:pt idx="3">
                  <c:v>الاسفلت المحسن</c:v>
                </c:pt>
                <c:pt idx="4">
                  <c:v>الطريق الخدمي</c:v>
                </c:pt>
                <c:pt idx="5">
                  <c:v>المستهدف</c:v>
                </c:pt>
              </c:strCache>
            </c:strRef>
          </c:cat>
          <c:val>
            <c:numRef>
              <c:f>'الاعمال المنجزة المعدل'!$AL$6:$AQ$6</c:f>
              <c:numCache>
                <c:formatCode>_(* #,##0.00_);_(* \(#,##0.00\);_(* "-"??_);_(@_)</c:formatCode>
                <c:ptCount val="6"/>
                <c:pt idx="0">
                  <c:v>112243</c:v>
                </c:pt>
                <c:pt idx="1">
                  <c:v>109373</c:v>
                </c:pt>
                <c:pt idx="2">
                  <c:v>109373</c:v>
                </c:pt>
                <c:pt idx="3">
                  <c:v>107363</c:v>
                </c:pt>
                <c:pt idx="4" formatCode="_-* #,##0.00\ _د_._ل_._‏_-;\-* #,##0.00\ _د_._ل_._‏_-;_-* &quot;-&quot;??\ _د_._ل_._‏_-;_-@_-">
                  <c:v>115363</c:v>
                </c:pt>
                <c:pt idx="5">
                  <c:v>115363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103-4E8C-B423-F2E7574B6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821056"/>
        <c:axId val="37822848"/>
      </c:barChart>
      <c:catAx>
        <c:axId val="378210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37822848"/>
        <c:crosses val="autoZero"/>
        <c:auto val="1"/>
        <c:lblAlgn val="ctr"/>
        <c:lblOffset val="100"/>
        <c:noMultiLvlLbl val="0"/>
      </c:catAx>
      <c:valAx>
        <c:axId val="3782284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3782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ar-SA" sz="1400" b="0" i="0" u="sng" baseline="0">
                <a:effectLst/>
              </a:rPr>
              <a:t>الاعمال المنجزة</a:t>
            </a:r>
            <a:endParaRPr lang="ar-SA" sz="1400" u="sng">
              <a:effectLst/>
            </a:endParaRPr>
          </a:p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u="sng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ar-SA" sz="1400" u="sng"/>
              <a:t>القطاع (</a:t>
            </a:r>
            <a:r>
              <a:rPr lang="en-US" sz="1400" u="sng"/>
              <a:t>B</a:t>
            </a:r>
            <a:r>
              <a:rPr lang="ar-SA" sz="1400" u="sng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sng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75-4E77-BFD2-BDF35870D7A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D75-4E77-BFD2-BDF35870D7A6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D75-4E77-BFD2-BDF35870D7A6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D75-4E77-BFD2-BDF35870D7A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D75-4E77-BFD2-BDF35870D7A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D75-4E77-BFD2-BDF35870D7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'الاعمال المنجزة المعدل'!$AL$16:$AQ$16</c:f>
              <c:strCache>
                <c:ptCount val="6"/>
                <c:pt idx="0">
                  <c:v>إعادة التدوير</c:v>
                </c:pt>
                <c:pt idx="1">
                  <c:v>الأساس الحبيبي </c:v>
                </c:pt>
                <c:pt idx="2">
                  <c:v>طبقة التشريب</c:v>
                </c:pt>
                <c:pt idx="3">
                  <c:v>الاسفلت المحسن</c:v>
                </c:pt>
                <c:pt idx="4">
                  <c:v>الطريق الخدمي</c:v>
                </c:pt>
                <c:pt idx="5">
                  <c:v>المستهدف</c:v>
                </c:pt>
              </c:strCache>
            </c:strRef>
          </c:cat>
          <c:val>
            <c:numRef>
              <c:f>'الاعمال المنجزة المعدل'!$AL$17:$AQ$17</c:f>
              <c:numCache>
                <c:formatCode>_(* #,##0.00_);_(* \(#,##0.00\);_(* "-"??_);_(@_)</c:formatCode>
                <c:ptCount val="6"/>
                <c:pt idx="0">
                  <c:v>107960</c:v>
                </c:pt>
                <c:pt idx="1">
                  <c:v>106110</c:v>
                </c:pt>
                <c:pt idx="2">
                  <c:v>104930</c:v>
                </c:pt>
                <c:pt idx="3">
                  <c:v>102560</c:v>
                </c:pt>
                <c:pt idx="4" formatCode="_-* #,##0.00\ _د_._ل_._‏_-;\-* #,##0.00\ _د_._ل_._‏_-;_-* &quot;-&quot;??\ _د_._ل_._‏_-;_-@_-">
                  <c:v>110900</c:v>
                </c:pt>
                <c:pt idx="5">
                  <c:v>110900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D75-4E77-BFD2-BDF35870D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54848"/>
        <c:axId val="39856384"/>
      </c:barChart>
      <c:catAx>
        <c:axId val="3985484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39856384"/>
        <c:crosses val="autoZero"/>
        <c:auto val="1"/>
        <c:lblAlgn val="ctr"/>
        <c:lblOffset val="100"/>
        <c:noMultiLvlLbl val="0"/>
      </c:catAx>
      <c:valAx>
        <c:axId val="3985638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3985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 u="sng"/>
              <a:t>اجمالي الاعمال المنجزة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270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108-423E-84F0-E696FD38F2F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108-423E-84F0-E696FD38F2FD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108-423E-84F0-E696FD38F2FD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108-423E-84F0-E696FD38F2F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108-423E-84F0-E696FD38F2F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108-423E-84F0-E696FD38F2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'الاعمال المنجزة 23 06 2026'!$AL$27:$AQ$27</c:f>
              <c:strCache>
                <c:ptCount val="6"/>
                <c:pt idx="0">
                  <c:v>إعادة التدوير</c:v>
                </c:pt>
                <c:pt idx="1">
                  <c:v>الأساس الحبيبي </c:v>
                </c:pt>
                <c:pt idx="2">
                  <c:v>طبقة التشريب</c:v>
                </c:pt>
                <c:pt idx="3">
                  <c:v>الاسفلت المحسن</c:v>
                </c:pt>
                <c:pt idx="4">
                  <c:v>الطريق الخدمي</c:v>
                </c:pt>
                <c:pt idx="5">
                  <c:v>المستهدف</c:v>
                </c:pt>
              </c:strCache>
            </c:strRef>
          </c:cat>
          <c:val>
            <c:numRef>
              <c:f>'الاعمال المنجزة 23 06 2026'!$AL$28:$AQ$28</c:f>
              <c:numCache>
                <c:formatCode>_(* #,##0.00_);_(* \(#,##0.00\);_(* "-"??_);_(@_)</c:formatCode>
                <c:ptCount val="6"/>
                <c:pt idx="0">
                  <c:v>220203</c:v>
                </c:pt>
                <c:pt idx="1">
                  <c:v>215483</c:v>
                </c:pt>
                <c:pt idx="2">
                  <c:v>214303</c:v>
                </c:pt>
                <c:pt idx="3">
                  <c:v>209923</c:v>
                </c:pt>
                <c:pt idx="4" formatCode="_-* #,##0.00\ _د_._ل_._‏_-;\-* #,##0.00\ _د_._ل_._‏_-;_-* &quot;-&quot;??\ _د_._ل_._‏_-;_-@_-">
                  <c:v>226263</c:v>
                </c:pt>
                <c:pt idx="5">
                  <c:v>226263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108-423E-84F0-E696FD38F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48032"/>
        <c:axId val="37549568"/>
      </c:barChart>
      <c:catAx>
        <c:axId val="375480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37549568"/>
        <c:crosses val="autoZero"/>
        <c:auto val="1"/>
        <c:lblAlgn val="ctr"/>
        <c:lblOffset val="100"/>
        <c:noMultiLvlLbl val="0"/>
      </c:catAx>
      <c:valAx>
        <c:axId val="3754956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3754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ar-SA" sz="1400" b="0" i="0" u="sng" baseline="0">
                <a:effectLst/>
              </a:rPr>
              <a:t>الاعمال المنجزة</a:t>
            </a:r>
            <a:endParaRPr lang="ar-SA" sz="1400" u="sng">
              <a:effectLst/>
            </a:endParaRPr>
          </a:p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u="sng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ar-SA" sz="1400" u="sng"/>
              <a:t>القطاع</a:t>
            </a:r>
            <a:r>
              <a:rPr lang="ar-SA" sz="1400" u="sng" baseline="0"/>
              <a:t> (</a:t>
            </a:r>
            <a:r>
              <a:rPr lang="en-US" sz="1400" u="sng" baseline="0"/>
              <a:t>A</a:t>
            </a:r>
            <a:r>
              <a:rPr lang="ar-SA" sz="1400" u="sng" baseline="0"/>
              <a:t>)</a:t>
            </a:r>
            <a:endParaRPr lang="ar-SA" sz="1400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sng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1D-4D1D-A792-D5E79363094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1D-4D1D-A792-D5E793630943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1D-4D1D-A792-D5E793630943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1D-4D1D-A792-D5E79363094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B1D-4D1D-A792-D5E79363094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B1D-4D1D-A792-D5E7936309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'الاعمال المنجزة 23 06 2026'!$AL$5:$AQ$5</c:f>
              <c:strCache>
                <c:ptCount val="6"/>
                <c:pt idx="0">
                  <c:v>إعادة التدوير</c:v>
                </c:pt>
                <c:pt idx="1">
                  <c:v>الأساس الحبيبي </c:v>
                </c:pt>
                <c:pt idx="2">
                  <c:v>طبقة التشريب</c:v>
                </c:pt>
                <c:pt idx="3">
                  <c:v>الاسفلت المحسن</c:v>
                </c:pt>
                <c:pt idx="4">
                  <c:v>الطريق الخدمي</c:v>
                </c:pt>
                <c:pt idx="5">
                  <c:v>المستهدف</c:v>
                </c:pt>
              </c:strCache>
            </c:strRef>
          </c:cat>
          <c:val>
            <c:numRef>
              <c:f>'الاعمال المنجزة 23 06 2026'!$AL$6:$AQ$6</c:f>
              <c:numCache>
                <c:formatCode>_(* #,##0.00_);_(* \(#,##0.00\);_(* "-"??_);_(@_)</c:formatCode>
                <c:ptCount val="6"/>
                <c:pt idx="0">
                  <c:v>112243</c:v>
                </c:pt>
                <c:pt idx="1">
                  <c:v>109373</c:v>
                </c:pt>
                <c:pt idx="2">
                  <c:v>109373</c:v>
                </c:pt>
                <c:pt idx="3">
                  <c:v>107363</c:v>
                </c:pt>
                <c:pt idx="4" formatCode="_-* #,##0.00\ _د_._ل_._‏_-;\-* #,##0.00\ _د_._ل_._‏_-;_-* &quot;-&quot;??\ _د_._ل_._‏_-;_-@_-">
                  <c:v>115363</c:v>
                </c:pt>
                <c:pt idx="5">
                  <c:v>115363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B1D-4D1D-A792-D5E793630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821056"/>
        <c:axId val="37822848"/>
      </c:barChart>
      <c:catAx>
        <c:axId val="378210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37822848"/>
        <c:crosses val="autoZero"/>
        <c:auto val="1"/>
        <c:lblAlgn val="ctr"/>
        <c:lblOffset val="100"/>
        <c:noMultiLvlLbl val="0"/>
      </c:catAx>
      <c:valAx>
        <c:axId val="3782284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3782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ar-SA" sz="1400" b="0" i="0" u="sng" baseline="0">
                <a:effectLst/>
              </a:rPr>
              <a:t>الاعمال المنجزة</a:t>
            </a:r>
            <a:endParaRPr lang="ar-SA" sz="1400" u="sng">
              <a:effectLst/>
            </a:endParaRPr>
          </a:p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u="sng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ar-SA" sz="1400" u="sng"/>
              <a:t>القطاع (</a:t>
            </a:r>
            <a:r>
              <a:rPr lang="en-US" sz="1400" u="sng"/>
              <a:t>B</a:t>
            </a:r>
            <a:r>
              <a:rPr lang="ar-SA" sz="1400" u="sng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sng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565-49E5-B032-6011BCCBB10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565-49E5-B032-6011BCCBB107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565-49E5-B032-6011BCCBB107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565-49E5-B032-6011BCCBB10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565-49E5-B032-6011BCCBB10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565-49E5-B032-6011BCCBB1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'الاعمال المنجزة 23 06 2026'!$AL$16:$AQ$16</c:f>
              <c:strCache>
                <c:ptCount val="6"/>
                <c:pt idx="0">
                  <c:v>إعادة التدوير</c:v>
                </c:pt>
                <c:pt idx="1">
                  <c:v>الأساس الحبيبي </c:v>
                </c:pt>
                <c:pt idx="2">
                  <c:v>طبقة التشريب</c:v>
                </c:pt>
                <c:pt idx="3">
                  <c:v>الاسفلت المحسن</c:v>
                </c:pt>
                <c:pt idx="4">
                  <c:v>الطريق الخدمي</c:v>
                </c:pt>
                <c:pt idx="5">
                  <c:v>المستهدف</c:v>
                </c:pt>
              </c:strCache>
            </c:strRef>
          </c:cat>
          <c:val>
            <c:numRef>
              <c:f>'الاعمال المنجزة 23 06 2026'!$AL$17:$AQ$17</c:f>
              <c:numCache>
                <c:formatCode>_(* #,##0.00_);_(* \(#,##0.00\);_(* "-"??_);_(@_)</c:formatCode>
                <c:ptCount val="6"/>
                <c:pt idx="0">
                  <c:v>107960</c:v>
                </c:pt>
                <c:pt idx="1">
                  <c:v>106110</c:v>
                </c:pt>
                <c:pt idx="2">
                  <c:v>104930</c:v>
                </c:pt>
                <c:pt idx="3">
                  <c:v>102560</c:v>
                </c:pt>
                <c:pt idx="4" formatCode="_-* #,##0.00\ _د_._ل_._‏_-;\-* #,##0.00\ _د_._ل_._‏_-;_-* &quot;-&quot;??\ _د_._ل_._‏_-;_-@_-">
                  <c:v>110900</c:v>
                </c:pt>
                <c:pt idx="5">
                  <c:v>110900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565-49E5-B032-6011BCCBB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54848"/>
        <c:axId val="39856384"/>
      </c:barChart>
      <c:catAx>
        <c:axId val="3985484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39856384"/>
        <c:crosses val="autoZero"/>
        <c:auto val="1"/>
        <c:lblAlgn val="ctr"/>
        <c:lblOffset val="100"/>
        <c:noMultiLvlLbl val="0"/>
      </c:catAx>
      <c:valAx>
        <c:axId val="3985638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3985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302558</xdr:colOff>
      <xdr:row>24</xdr:row>
      <xdr:rowOff>67234</xdr:rowOff>
    </xdr:from>
    <xdr:to>
      <xdr:col>46</xdr:col>
      <xdr:colOff>123263</xdr:colOff>
      <xdr:row>34</xdr:row>
      <xdr:rowOff>22969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84D75BA0-AF1A-4E7D-A9D9-218AD081C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302560</xdr:colOff>
      <xdr:row>1</xdr:row>
      <xdr:rowOff>302560</xdr:rowOff>
    </xdr:from>
    <xdr:to>
      <xdr:col>46</xdr:col>
      <xdr:colOff>89649</xdr:colOff>
      <xdr:row>11</xdr:row>
      <xdr:rowOff>291353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CC4E7411-5E3C-4D0B-BB61-9ACC9F69F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302559</xdr:colOff>
      <xdr:row>12</xdr:row>
      <xdr:rowOff>303118</xdr:rowOff>
    </xdr:from>
    <xdr:to>
      <xdr:col>46</xdr:col>
      <xdr:colOff>112059</xdr:colOff>
      <xdr:row>22</xdr:row>
      <xdr:rowOff>299757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484D51E8-0309-4FD2-A334-F8CB3B4A7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291351</xdr:colOff>
      <xdr:row>24</xdr:row>
      <xdr:rowOff>44822</xdr:rowOff>
    </xdr:from>
    <xdr:to>
      <xdr:col>47</xdr:col>
      <xdr:colOff>392204</xdr:colOff>
      <xdr:row>33</xdr:row>
      <xdr:rowOff>380997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6109DEFE-0189-4BB1-8AF1-4CF0471272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291354</xdr:colOff>
      <xdr:row>2</xdr:row>
      <xdr:rowOff>33619</xdr:rowOff>
    </xdr:from>
    <xdr:to>
      <xdr:col>47</xdr:col>
      <xdr:colOff>358591</xdr:colOff>
      <xdr:row>12</xdr:row>
      <xdr:rowOff>22412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4CDB1584-6678-487D-969F-E95C3C1772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302558</xdr:colOff>
      <xdr:row>12</xdr:row>
      <xdr:rowOff>371474</xdr:rowOff>
    </xdr:from>
    <xdr:to>
      <xdr:col>47</xdr:col>
      <xdr:colOff>392206</xdr:colOff>
      <xdr:row>22</xdr:row>
      <xdr:rowOff>358588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0A13A863-058D-4FE2-8C75-2B891A098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25BC-D3AB-4205-9BA4-8618229EF30C}">
  <dimension ref="B1:BI39"/>
  <sheetViews>
    <sheetView rightToLeft="1" tabSelected="1" view="pageBreakPreview" topLeftCell="O23" zoomScale="85" zoomScaleNormal="100" zoomScaleSheetLayoutView="85" workbookViewId="0">
      <selection activeCell="U35" sqref="U35"/>
    </sheetView>
  </sheetViews>
  <sheetFormatPr defaultRowHeight="14.25" x14ac:dyDescent="0.2"/>
  <cols>
    <col min="1" max="6" width="4.125" customWidth="1"/>
    <col min="7" max="7" width="5" customWidth="1"/>
    <col min="8" max="14" width="4.125" customWidth="1"/>
    <col min="15" max="15" width="4.375" customWidth="1"/>
    <col min="16" max="17" width="4.125" customWidth="1"/>
    <col min="18" max="18" width="6.25" customWidth="1"/>
    <col min="19" max="19" width="4.125" hidden="1" customWidth="1"/>
    <col min="20" max="21" width="4.125" customWidth="1"/>
    <col min="22" max="22" width="7.25" customWidth="1"/>
    <col min="23" max="43" width="4.125" customWidth="1"/>
    <col min="44" max="48" width="8.625" customWidth="1"/>
    <col min="49" max="63" width="4.125" customWidth="1"/>
  </cols>
  <sheetData>
    <row r="1" spans="2:61" ht="24.95" customHeight="1" x14ac:dyDescent="0.3">
      <c r="B1" s="243" t="s">
        <v>16</v>
      </c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BF1" s="70"/>
      <c r="BG1" s="70"/>
      <c r="BH1" s="70"/>
      <c r="BI1" s="70"/>
    </row>
    <row r="2" spans="2:61" ht="24.95" customHeight="1" x14ac:dyDescent="0.3">
      <c r="B2" s="243" t="s">
        <v>17</v>
      </c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E2" s="13"/>
      <c r="AF2" s="244" t="s">
        <v>22</v>
      </c>
      <c r="AG2" s="244"/>
      <c r="AH2" s="245">
        <f ca="1">TODAY()</f>
        <v>46197</v>
      </c>
      <c r="AI2" s="244"/>
      <c r="AJ2" s="244"/>
      <c r="AK2" s="244"/>
      <c r="AL2" s="246">
        <f ca="1">AH2</f>
        <v>46197</v>
      </c>
      <c r="AM2" s="247"/>
      <c r="AN2" s="12"/>
      <c r="AO2" s="12"/>
      <c r="AP2" s="12"/>
      <c r="AX2" s="71"/>
      <c r="AY2" s="71"/>
      <c r="AZ2" s="71"/>
      <c r="BA2" s="71"/>
    </row>
    <row r="3" spans="2:61" ht="24.95" customHeight="1" x14ac:dyDescent="0.3">
      <c r="B3" s="230" t="s">
        <v>1769</v>
      </c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2"/>
      <c r="AX3" s="72"/>
      <c r="AY3" s="72"/>
      <c r="AZ3" s="72"/>
      <c r="BA3" s="72"/>
    </row>
    <row r="4" spans="2:61" ht="24.95" customHeight="1" x14ac:dyDescent="0.25">
      <c r="B4" s="3" t="s">
        <v>0</v>
      </c>
      <c r="C4" s="240" t="s">
        <v>1</v>
      </c>
      <c r="D4" s="240"/>
      <c r="E4" s="240"/>
      <c r="F4" s="240"/>
      <c r="G4" s="240"/>
      <c r="H4" s="227" t="s">
        <v>19</v>
      </c>
      <c r="I4" s="228"/>
      <c r="J4" s="228"/>
      <c r="K4" s="229"/>
      <c r="L4" s="227" t="s">
        <v>20</v>
      </c>
      <c r="M4" s="228"/>
      <c r="N4" s="228"/>
      <c r="O4" s="229"/>
      <c r="P4" s="227" t="s">
        <v>1774</v>
      </c>
      <c r="Q4" s="228"/>
      <c r="R4" s="228"/>
      <c r="S4" s="228"/>
      <c r="T4" s="240" t="s">
        <v>1775</v>
      </c>
      <c r="U4" s="240"/>
      <c r="V4" s="240"/>
      <c r="W4" s="240" t="s">
        <v>10</v>
      </c>
      <c r="X4" s="240"/>
      <c r="Y4" s="240"/>
      <c r="Z4" s="240"/>
      <c r="AX4" s="227" t="s">
        <v>18</v>
      </c>
      <c r="AY4" s="228"/>
      <c r="AZ4" s="228"/>
      <c r="BA4" s="229"/>
    </row>
    <row r="5" spans="2:61" ht="24.95" customHeight="1" x14ac:dyDescent="0.25">
      <c r="B5" s="3"/>
      <c r="C5" s="241" t="s">
        <v>5</v>
      </c>
      <c r="D5" s="242"/>
      <c r="E5" s="242"/>
      <c r="F5" s="242"/>
      <c r="G5" s="242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5"/>
      <c r="T5" s="21"/>
      <c r="U5" s="21"/>
      <c r="V5" s="21"/>
      <c r="W5" s="21"/>
      <c r="X5" s="21"/>
      <c r="Y5" s="21"/>
      <c r="Z5" s="21"/>
      <c r="AL5" t="s">
        <v>11</v>
      </c>
      <c r="AM5" t="s">
        <v>12</v>
      </c>
      <c r="AN5" t="s">
        <v>13</v>
      </c>
      <c r="AO5" t="s">
        <v>14</v>
      </c>
      <c r="AP5" t="s">
        <v>9</v>
      </c>
      <c r="AQ5" t="s">
        <v>15</v>
      </c>
      <c r="AX5" s="242"/>
      <c r="AY5" s="242"/>
      <c r="AZ5" s="242"/>
      <c r="BA5" s="242"/>
    </row>
    <row r="6" spans="2:61" ht="24.95" customHeight="1" x14ac:dyDescent="0.25">
      <c r="B6" s="3">
        <v>1</v>
      </c>
      <c r="C6" s="218" t="s">
        <v>2</v>
      </c>
      <c r="D6" s="218"/>
      <c r="E6" s="218"/>
      <c r="F6" s="218"/>
      <c r="G6" s="218"/>
      <c r="H6" s="181">
        <v>600</v>
      </c>
      <c r="I6" s="182"/>
      <c r="J6" s="182"/>
      <c r="K6" s="183"/>
      <c r="L6" s="215">
        <f>AX6+H6</f>
        <v>112243</v>
      </c>
      <c r="M6" s="216"/>
      <c r="N6" s="216"/>
      <c r="O6" s="217"/>
      <c r="P6" s="233">
        <v>500</v>
      </c>
      <c r="Q6" s="234"/>
      <c r="R6" s="234"/>
      <c r="S6" s="239"/>
      <c r="T6" s="233">
        <f>H6-P6</f>
        <v>100</v>
      </c>
      <c r="U6" s="234"/>
      <c r="V6" s="234"/>
      <c r="W6" s="219"/>
      <c r="X6" s="219"/>
      <c r="Y6" s="219"/>
      <c r="Z6" s="219"/>
      <c r="AA6" s="1"/>
      <c r="AB6" s="1"/>
      <c r="AC6" s="1"/>
      <c r="AD6" s="1"/>
      <c r="AE6" s="1"/>
      <c r="AF6" s="1"/>
      <c r="AG6" s="1"/>
      <c r="AH6" s="1"/>
      <c r="AI6" s="1"/>
      <c r="AJ6" s="1"/>
      <c r="AL6" s="1">
        <f>L6</f>
        <v>112243</v>
      </c>
      <c r="AM6" s="1">
        <f>L11</f>
        <v>109373</v>
      </c>
      <c r="AN6" s="1">
        <f>L7</f>
        <v>109373</v>
      </c>
      <c r="AO6" s="1">
        <f>L8</f>
        <v>107363</v>
      </c>
      <c r="AP6" s="6">
        <f>L12</f>
        <v>115363</v>
      </c>
      <c r="AQ6" s="2">
        <v>115363</v>
      </c>
      <c r="AX6" s="193">
        <v>111643</v>
      </c>
      <c r="AY6" s="194"/>
      <c r="AZ6" s="194"/>
      <c r="BA6" s="195"/>
    </row>
    <row r="7" spans="2:61" ht="24.95" customHeight="1" x14ac:dyDescent="0.25">
      <c r="B7" s="3">
        <v>2</v>
      </c>
      <c r="C7" s="218" t="s">
        <v>3</v>
      </c>
      <c r="D7" s="218"/>
      <c r="E7" s="218"/>
      <c r="F7" s="218"/>
      <c r="G7" s="218"/>
      <c r="H7" s="181">
        <v>0</v>
      </c>
      <c r="I7" s="182"/>
      <c r="J7" s="182"/>
      <c r="K7" s="183"/>
      <c r="L7" s="212">
        <f>AX7+H7</f>
        <v>109373</v>
      </c>
      <c r="M7" s="213"/>
      <c r="N7" s="213"/>
      <c r="O7" s="214"/>
      <c r="P7" s="206">
        <v>500</v>
      </c>
      <c r="Q7" s="207"/>
      <c r="R7" s="207"/>
      <c r="S7" s="208"/>
      <c r="T7" s="233">
        <f>H7-P7</f>
        <v>-500</v>
      </c>
      <c r="U7" s="234"/>
      <c r="V7" s="234"/>
      <c r="W7" s="219"/>
      <c r="X7" s="219"/>
      <c r="Y7" s="219"/>
      <c r="Z7" s="219"/>
      <c r="AG7" s="1"/>
      <c r="AX7" s="193">
        <v>109373</v>
      </c>
      <c r="AY7" s="194"/>
      <c r="AZ7" s="194"/>
      <c r="BA7" s="195"/>
    </row>
    <row r="8" spans="2:61" ht="24.95" customHeight="1" x14ac:dyDescent="0.25">
      <c r="B8" s="3">
        <v>3</v>
      </c>
      <c r="C8" s="218" t="s">
        <v>4</v>
      </c>
      <c r="D8" s="218"/>
      <c r="E8" s="218"/>
      <c r="F8" s="218"/>
      <c r="G8" s="218"/>
      <c r="H8" s="181">
        <v>590</v>
      </c>
      <c r="I8" s="182"/>
      <c r="J8" s="182"/>
      <c r="K8" s="183"/>
      <c r="L8" s="236">
        <f>AX8+H8</f>
        <v>107363</v>
      </c>
      <c r="M8" s="237"/>
      <c r="N8" s="237"/>
      <c r="O8" s="238"/>
      <c r="P8" s="206">
        <v>500</v>
      </c>
      <c r="Q8" s="207"/>
      <c r="R8" s="207"/>
      <c r="S8" s="208"/>
      <c r="T8" s="233">
        <f>H8-P8</f>
        <v>90</v>
      </c>
      <c r="U8" s="234"/>
      <c r="V8" s="234"/>
      <c r="W8" s="219"/>
      <c r="X8" s="219"/>
      <c r="Y8" s="219"/>
      <c r="Z8" s="219"/>
      <c r="AG8" s="1"/>
      <c r="AX8" s="193">
        <v>106773</v>
      </c>
      <c r="AY8" s="194"/>
      <c r="AZ8" s="194"/>
      <c r="BA8" s="195"/>
    </row>
    <row r="9" spans="2:61" ht="24.95" customHeight="1" x14ac:dyDescent="0.25">
      <c r="B9" s="3"/>
      <c r="C9" s="241" t="s">
        <v>6</v>
      </c>
      <c r="D9" s="242"/>
      <c r="E9" s="242"/>
      <c r="F9" s="242"/>
      <c r="G9" s="24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5"/>
      <c r="T9" s="21"/>
      <c r="U9" s="21"/>
      <c r="V9" s="21"/>
      <c r="W9" s="21"/>
      <c r="X9" s="21"/>
      <c r="Y9" s="21"/>
      <c r="Z9" s="21"/>
      <c r="AG9" s="1"/>
      <c r="AX9" s="4"/>
      <c r="AY9" s="4"/>
      <c r="AZ9" s="4"/>
      <c r="BA9" s="4"/>
    </row>
    <row r="10" spans="2:61" ht="24.95" customHeight="1" x14ac:dyDescent="0.25">
      <c r="B10" s="3">
        <v>1</v>
      </c>
      <c r="C10" s="235" t="s">
        <v>7</v>
      </c>
      <c r="D10" s="235"/>
      <c r="E10" s="235"/>
      <c r="F10" s="235"/>
      <c r="G10" s="235"/>
      <c r="H10" s="193">
        <v>0</v>
      </c>
      <c r="I10" s="194"/>
      <c r="J10" s="194"/>
      <c r="K10" s="195"/>
      <c r="L10" s="206">
        <f>AX10+H10</f>
        <v>115363</v>
      </c>
      <c r="M10" s="207"/>
      <c r="N10" s="207"/>
      <c r="O10" s="208"/>
      <c r="P10" s="206">
        <v>500</v>
      </c>
      <c r="Q10" s="207"/>
      <c r="R10" s="207"/>
      <c r="S10" s="208"/>
      <c r="T10" s="233">
        <f>H10-P10</f>
        <v>-500</v>
      </c>
      <c r="U10" s="234"/>
      <c r="V10" s="234"/>
      <c r="W10" s="219"/>
      <c r="X10" s="219"/>
      <c r="Y10" s="219"/>
      <c r="Z10" s="219"/>
      <c r="AG10" s="1"/>
      <c r="AX10" s="193">
        <v>115363</v>
      </c>
      <c r="AY10" s="194"/>
      <c r="AZ10" s="194"/>
      <c r="BA10" s="195"/>
    </row>
    <row r="11" spans="2:61" ht="24.95" customHeight="1" x14ac:dyDescent="0.25">
      <c r="B11" s="3">
        <v>2</v>
      </c>
      <c r="C11" s="218" t="s">
        <v>8</v>
      </c>
      <c r="D11" s="218"/>
      <c r="E11" s="218"/>
      <c r="F11" s="218"/>
      <c r="G11" s="218"/>
      <c r="H11" s="193">
        <v>0</v>
      </c>
      <c r="I11" s="194"/>
      <c r="J11" s="194"/>
      <c r="K11" s="195"/>
      <c r="L11" s="184">
        <f>AX11+H11</f>
        <v>109373</v>
      </c>
      <c r="M11" s="185"/>
      <c r="N11" s="185"/>
      <c r="O11" s="186"/>
      <c r="P11" s="206">
        <v>500</v>
      </c>
      <c r="Q11" s="207"/>
      <c r="R11" s="207"/>
      <c r="S11" s="208"/>
      <c r="T11" s="233">
        <f>H11-P11</f>
        <v>-500</v>
      </c>
      <c r="U11" s="234"/>
      <c r="V11" s="234"/>
      <c r="W11" s="219"/>
      <c r="X11" s="219"/>
      <c r="Y11" s="219"/>
      <c r="Z11" s="219"/>
      <c r="AG11" s="1"/>
      <c r="AX11" s="193">
        <v>109373</v>
      </c>
      <c r="AY11" s="194"/>
      <c r="AZ11" s="194"/>
      <c r="BA11" s="195"/>
    </row>
    <row r="12" spans="2:61" ht="24.95" customHeight="1" x14ac:dyDescent="0.25">
      <c r="B12" s="3">
        <v>3</v>
      </c>
      <c r="C12" s="218" t="s">
        <v>9</v>
      </c>
      <c r="D12" s="218"/>
      <c r="E12" s="218"/>
      <c r="F12" s="218"/>
      <c r="G12" s="218"/>
      <c r="H12" s="193">
        <v>0</v>
      </c>
      <c r="I12" s="194"/>
      <c r="J12" s="194"/>
      <c r="K12" s="195"/>
      <c r="L12" s="202">
        <f>AX12+H12</f>
        <v>115363</v>
      </c>
      <c r="M12" s="203"/>
      <c r="N12" s="203"/>
      <c r="O12" s="204"/>
      <c r="P12" s="206"/>
      <c r="Q12" s="207"/>
      <c r="R12" s="207"/>
      <c r="S12" s="208"/>
      <c r="T12" s="219"/>
      <c r="U12" s="219"/>
      <c r="V12" s="219"/>
      <c r="W12" s="219"/>
      <c r="X12" s="219"/>
      <c r="Y12" s="219"/>
      <c r="Z12" s="219"/>
      <c r="AX12" s="193">
        <v>115363</v>
      </c>
      <c r="AY12" s="194"/>
      <c r="AZ12" s="194"/>
      <c r="BA12" s="195"/>
    </row>
    <row r="13" spans="2:61" ht="24.95" customHeight="1" x14ac:dyDescent="0.25">
      <c r="B13" s="7"/>
      <c r="C13" s="8"/>
      <c r="D13" s="8"/>
      <c r="E13" s="8"/>
      <c r="F13" s="8"/>
      <c r="G13" s="8"/>
      <c r="H13" s="9"/>
      <c r="I13" s="9"/>
      <c r="J13" s="9"/>
      <c r="K13" s="9"/>
      <c r="L13" s="10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X13" s="9"/>
      <c r="AY13" s="9"/>
      <c r="AZ13" s="9"/>
      <c r="BA13" s="9"/>
    </row>
    <row r="14" spans="2:61" ht="24.95" customHeight="1" x14ac:dyDescent="0.3">
      <c r="B14" s="230" t="s">
        <v>1770</v>
      </c>
      <c r="C14" s="231"/>
      <c r="D14" s="231"/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2"/>
      <c r="AX14" s="72"/>
      <c r="AY14" s="72"/>
      <c r="AZ14" s="72"/>
      <c r="BA14" s="72"/>
    </row>
    <row r="15" spans="2:61" ht="24.95" customHeight="1" x14ac:dyDescent="0.25">
      <c r="B15" s="3" t="s">
        <v>0</v>
      </c>
      <c r="C15" s="240" t="s">
        <v>1</v>
      </c>
      <c r="D15" s="240"/>
      <c r="E15" s="240"/>
      <c r="F15" s="240"/>
      <c r="G15" s="240"/>
      <c r="H15" s="227" t="s">
        <v>19</v>
      </c>
      <c r="I15" s="228"/>
      <c r="J15" s="228"/>
      <c r="K15" s="229"/>
      <c r="L15" s="227" t="s">
        <v>20</v>
      </c>
      <c r="M15" s="228"/>
      <c r="N15" s="228"/>
      <c r="O15" s="229"/>
      <c r="P15" s="227" t="s">
        <v>1774</v>
      </c>
      <c r="Q15" s="228"/>
      <c r="R15" s="228"/>
      <c r="S15" s="228"/>
      <c r="T15" s="240" t="s">
        <v>1775</v>
      </c>
      <c r="U15" s="240"/>
      <c r="V15" s="240"/>
      <c r="W15" s="240" t="s">
        <v>10</v>
      </c>
      <c r="X15" s="240"/>
      <c r="Y15" s="240"/>
      <c r="Z15" s="240"/>
      <c r="AX15" s="227" t="s">
        <v>18</v>
      </c>
      <c r="AY15" s="228"/>
      <c r="AZ15" s="228"/>
      <c r="BA15" s="229"/>
    </row>
    <row r="16" spans="2:61" ht="24.95" customHeight="1" x14ac:dyDescent="0.25">
      <c r="B16" s="3"/>
      <c r="C16" s="14" t="s">
        <v>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5"/>
      <c r="T16" s="21"/>
      <c r="U16" s="21"/>
      <c r="V16" s="21"/>
      <c r="W16" s="21"/>
      <c r="X16" s="21"/>
      <c r="Y16" s="21"/>
      <c r="Z16" s="21"/>
      <c r="AL16" t="s">
        <v>11</v>
      </c>
      <c r="AM16" t="s">
        <v>12</v>
      </c>
      <c r="AN16" t="s">
        <v>13</v>
      </c>
      <c r="AO16" t="s">
        <v>14</v>
      </c>
      <c r="AP16" t="s">
        <v>9</v>
      </c>
      <c r="AQ16" t="s">
        <v>15</v>
      </c>
      <c r="AX16" s="4"/>
      <c r="AY16" s="4"/>
      <c r="AZ16" s="4"/>
      <c r="BA16" s="4"/>
    </row>
    <row r="17" spans="2:55" ht="24.95" customHeight="1" x14ac:dyDescent="0.25">
      <c r="B17" s="3">
        <v>1</v>
      </c>
      <c r="C17" s="218" t="s">
        <v>2</v>
      </c>
      <c r="D17" s="218"/>
      <c r="E17" s="218"/>
      <c r="F17" s="218"/>
      <c r="G17" s="218"/>
      <c r="H17" s="181">
        <v>460</v>
      </c>
      <c r="I17" s="182"/>
      <c r="J17" s="182"/>
      <c r="K17" s="183"/>
      <c r="L17" s="215">
        <f>AX17+H17</f>
        <v>107960</v>
      </c>
      <c r="M17" s="216"/>
      <c r="N17" s="216"/>
      <c r="O17" s="217"/>
      <c r="P17" s="233">
        <v>500</v>
      </c>
      <c r="Q17" s="234"/>
      <c r="R17" s="234"/>
      <c r="S17" s="239"/>
      <c r="T17" s="233">
        <f>H17-P17</f>
        <v>-40</v>
      </c>
      <c r="U17" s="234"/>
      <c r="V17" s="234"/>
      <c r="W17" s="219"/>
      <c r="X17" s="219"/>
      <c r="Y17" s="219"/>
      <c r="Z17" s="219"/>
      <c r="AA17" s="192"/>
      <c r="AB17" s="192"/>
      <c r="AC17" s="192"/>
      <c r="AD17" s="192"/>
      <c r="AE17" s="192"/>
      <c r="AF17" s="192"/>
      <c r="AG17" s="192"/>
      <c r="AH17" s="179"/>
      <c r="AI17" s="179"/>
      <c r="AJ17" s="179"/>
      <c r="AL17" s="1">
        <f>L17</f>
        <v>107960</v>
      </c>
      <c r="AM17" s="1">
        <f>L22</f>
        <v>106110</v>
      </c>
      <c r="AN17" s="1">
        <f>L18</f>
        <v>104930</v>
      </c>
      <c r="AO17" s="1">
        <f>L19</f>
        <v>102560</v>
      </c>
      <c r="AP17" s="6">
        <f>L23</f>
        <v>110900</v>
      </c>
      <c r="AQ17" s="2">
        <v>110900</v>
      </c>
      <c r="AX17" s="193">
        <v>107500</v>
      </c>
      <c r="AY17" s="194"/>
      <c r="AZ17" s="194"/>
      <c r="BA17" s="195"/>
    </row>
    <row r="18" spans="2:55" ht="24.95" customHeight="1" x14ac:dyDescent="0.25">
      <c r="B18" s="3">
        <v>2</v>
      </c>
      <c r="C18" s="218" t="s">
        <v>3</v>
      </c>
      <c r="D18" s="218"/>
      <c r="E18" s="218"/>
      <c r="F18" s="218"/>
      <c r="G18" s="218"/>
      <c r="H18" s="181">
        <v>0</v>
      </c>
      <c r="I18" s="182"/>
      <c r="J18" s="182"/>
      <c r="K18" s="183"/>
      <c r="L18" s="212">
        <f>AX18+H18</f>
        <v>104930</v>
      </c>
      <c r="M18" s="213"/>
      <c r="N18" s="213"/>
      <c r="O18" s="214"/>
      <c r="P18" s="206">
        <v>500</v>
      </c>
      <c r="Q18" s="207"/>
      <c r="R18" s="207"/>
      <c r="S18" s="208"/>
      <c r="T18" s="233">
        <f>H18-P18</f>
        <v>-500</v>
      </c>
      <c r="U18" s="234"/>
      <c r="V18" s="234"/>
      <c r="W18" s="219"/>
      <c r="X18" s="219"/>
      <c r="Y18" s="219"/>
      <c r="Z18" s="219"/>
      <c r="AA18" s="179"/>
      <c r="AB18" s="179"/>
      <c r="AC18" s="179"/>
      <c r="AD18" s="179"/>
      <c r="AE18" s="179"/>
      <c r="AF18" s="179"/>
      <c r="AG18" s="192"/>
      <c r="AH18" s="179"/>
      <c r="AI18" s="179"/>
      <c r="AJ18" s="179"/>
      <c r="AX18" s="193">
        <v>104930</v>
      </c>
      <c r="AY18" s="194"/>
      <c r="AZ18" s="194"/>
      <c r="BA18" s="195"/>
    </row>
    <row r="19" spans="2:55" ht="24.95" customHeight="1" x14ac:dyDescent="0.25">
      <c r="B19" s="3">
        <v>3</v>
      </c>
      <c r="C19" s="218" t="s">
        <v>4</v>
      </c>
      <c r="D19" s="218"/>
      <c r="E19" s="218"/>
      <c r="F19" s="218"/>
      <c r="G19" s="218"/>
      <c r="H19" s="181">
        <v>0</v>
      </c>
      <c r="I19" s="182"/>
      <c r="J19" s="182"/>
      <c r="K19" s="183"/>
      <c r="L19" s="236">
        <f>AX19+H19</f>
        <v>102560</v>
      </c>
      <c r="M19" s="237"/>
      <c r="N19" s="237"/>
      <c r="O19" s="238"/>
      <c r="P19" s="206">
        <v>500</v>
      </c>
      <c r="Q19" s="207"/>
      <c r="R19" s="207"/>
      <c r="S19" s="208"/>
      <c r="T19" s="233">
        <f>H19-P19</f>
        <v>-500</v>
      </c>
      <c r="U19" s="234"/>
      <c r="V19" s="234"/>
      <c r="W19" s="219"/>
      <c r="X19" s="219"/>
      <c r="Y19" s="219"/>
      <c r="Z19" s="219"/>
      <c r="AA19" s="179"/>
      <c r="AB19" s="179"/>
      <c r="AC19" s="179"/>
      <c r="AD19" s="179"/>
      <c r="AE19" s="179"/>
      <c r="AF19" s="179"/>
      <c r="AG19" s="192"/>
      <c r="AH19" s="179"/>
      <c r="AI19" s="179"/>
      <c r="AJ19" s="179"/>
      <c r="AX19" s="193">
        <v>102560</v>
      </c>
      <c r="AY19" s="194"/>
      <c r="AZ19" s="194"/>
      <c r="BA19" s="195"/>
    </row>
    <row r="20" spans="2:55" ht="24.95" customHeight="1" x14ac:dyDescent="0.25">
      <c r="B20" s="3"/>
      <c r="C20" s="14" t="s">
        <v>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5"/>
      <c r="T20" s="21"/>
      <c r="U20" s="21"/>
      <c r="V20" s="21"/>
      <c r="W20" s="21"/>
      <c r="X20" s="21"/>
      <c r="Y20" s="21"/>
      <c r="Z20" s="21"/>
      <c r="AA20" s="179"/>
      <c r="AB20" s="179"/>
      <c r="AC20" s="179"/>
      <c r="AD20" s="179"/>
      <c r="AE20" s="179"/>
      <c r="AF20" s="179"/>
      <c r="AG20" s="192"/>
      <c r="AH20" s="179"/>
      <c r="AI20" s="179"/>
      <c r="AJ20" s="179"/>
      <c r="AX20" s="4"/>
      <c r="AY20" s="4"/>
      <c r="AZ20" s="4"/>
      <c r="BA20" s="4"/>
    </row>
    <row r="21" spans="2:55" ht="24.95" customHeight="1" x14ac:dyDescent="0.25">
      <c r="B21" s="3">
        <v>1</v>
      </c>
      <c r="C21" s="235" t="s">
        <v>7</v>
      </c>
      <c r="D21" s="235"/>
      <c r="E21" s="235"/>
      <c r="F21" s="235"/>
      <c r="G21" s="235"/>
      <c r="H21" s="193">
        <v>0</v>
      </c>
      <c r="I21" s="194"/>
      <c r="J21" s="194"/>
      <c r="K21" s="195"/>
      <c r="L21" s="206">
        <f>AX21+H21</f>
        <v>110780</v>
      </c>
      <c r="M21" s="207"/>
      <c r="N21" s="207"/>
      <c r="O21" s="208"/>
      <c r="P21" s="206">
        <v>500</v>
      </c>
      <c r="Q21" s="207"/>
      <c r="R21" s="207"/>
      <c r="S21" s="208"/>
      <c r="T21" s="233">
        <f>H21-P21</f>
        <v>-500</v>
      </c>
      <c r="U21" s="234"/>
      <c r="V21" s="234"/>
      <c r="W21" s="219"/>
      <c r="X21" s="219"/>
      <c r="Y21" s="219"/>
      <c r="Z21" s="219"/>
      <c r="AA21" s="179"/>
      <c r="AB21" s="179"/>
      <c r="AC21" s="179"/>
      <c r="AD21" s="179"/>
      <c r="AE21" s="179"/>
      <c r="AF21" s="179"/>
      <c r="AG21" s="192"/>
      <c r="AH21" s="179"/>
      <c r="AI21" s="179"/>
      <c r="AJ21" s="179"/>
      <c r="AX21" s="193">
        <v>110780</v>
      </c>
      <c r="AY21" s="194"/>
      <c r="AZ21" s="194"/>
      <c r="BA21" s="195"/>
      <c r="BB21" s="178">
        <v>140</v>
      </c>
      <c r="BC21" s="179"/>
    </row>
    <row r="22" spans="2:55" ht="24.95" customHeight="1" x14ac:dyDescent="0.25">
      <c r="B22" s="3">
        <v>2</v>
      </c>
      <c r="C22" s="218" t="s">
        <v>8</v>
      </c>
      <c r="D22" s="218"/>
      <c r="E22" s="218"/>
      <c r="F22" s="218"/>
      <c r="G22" s="218"/>
      <c r="H22" s="193">
        <v>600</v>
      </c>
      <c r="I22" s="194"/>
      <c r="J22" s="194"/>
      <c r="K22" s="195"/>
      <c r="L22" s="184">
        <f>AX22+H22</f>
        <v>106110</v>
      </c>
      <c r="M22" s="185"/>
      <c r="N22" s="185"/>
      <c r="O22" s="186"/>
      <c r="P22" s="206">
        <v>500</v>
      </c>
      <c r="Q22" s="207"/>
      <c r="R22" s="207"/>
      <c r="S22" s="208"/>
      <c r="T22" s="233">
        <f>H22-P22</f>
        <v>100</v>
      </c>
      <c r="U22" s="234"/>
      <c r="V22" s="234"/>
      <c r="W22" s="219"/>
      <c r="X22" s="219"/>
      <c r="Y22" s="219"/>
      <c r="Z22" s="219"/>
      <c r="AA22" s="179"/>
      <c r="AB22" s="179"/>
      <c r="AC22" s="179"/>
      <c r="AD22" s="179"/>
      <c r="AE22" s="179"/>
      <c r="AF22" s="179"/>
      <c r="AG22" s="192"/>
      <c r="AH22" s="179"/>
      <c r="AI22" s="179"/>
      <c r="AJ22" s="179"/>
      <c r="AX22" s="193">
        <v>105510</v>
      </c>
      <c r="AY22" s="194"/>
      <c r="AZ22" s="194"/>
      <c r="BA22" s="195"/>
    </row>
    <row r="23" spans="2:55" ht="24.95" customHeight="1" x14ac:dyDescent="0.25">
      <c r="B23" s="3">
        <v>3</v>
      </c>
      <c r="C23" s="218" t="s">
        <v>9</v>
      </c>
      <c r="D23" s="218"/>
      <c r="E23" s="218"/>
      <c r="F23" s="218"/>
      <c r="G23" s="218"/>
      <c r="H23" s="193">
        <v>0</v>
      </c>
      <c r="I23" s="194"/>
      <c r="J23" s="194"/>
      <c r="K23" s="195"/>
      <c r="L23" s="202">
        <f>AX23+H23</f>
        <v>110900</v>
      </c>
      <c r="M23" s="203"/>
      <c r="N23" s="203"/>
      <c r="O23" s="204"/>
      <c r="P23" s="206"/>
      <c r="Q23" s="207"/>
      <c r="R23" s="207"/>
      <c r="S23" s="208"/>
      <c r="T23" s="219"/>
      <c r="U23" s="219"/>
      <c r="V23" s="219"/>
      <c r="W23" s="219"/>
      <c r="X23" s="219"/>
      <c r="Y23" s="219"/>
      <c r="Z23" s="219"/>
      <c r="AX23" s="193">
        <v>110900</v>
      </c>
      <c r="AY23" s="194"/>
      <c r="AZ23" s="194"/>
      <c r="BA23" s="195"/>
    </row>
    <row r="24" spans="2:55" ht="24.95" customHeight="1" x14ac:dyDescent="0.2"/>
    <row r="25" spans="2:55" ht="24.95" customHeight="1" x14ac:dyDescent="0.3">
      <c r="B25" s="230" t="s">
        <v>21</v>
      </c>
      <c r="C25" s="231"/>
      <c r="D25" s="231"/>
      <c r="E25" s="23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2"/>
      <c r="AX25" s="72"/>
      <c r="AY25" s="72"/>
      <c r="AZ25" s="72"/>
      <c r="BA25" s="72"/>
    </row>
    <row r="26" spans="2:55" ht="24.95" customHeight="1" x14ac:dyDescent="0.25">
      <c r="B26" s="126" t="s">
        <v>0</v>
      </c>
      <c r="C26" s="220" t="s">
        <v>1</v>
      </c>
      <c r="D26" s="220"/>
      <c r="E26" s="220"/>
      <c r="F26" s="220"/>
      <c r="G26" s="220"/>
      <c r="H26" s="221" t="s">
        <v>19</v>
      </c>
      <c r="I26" s="222"/>
      <c r="J26" s="222"/>
      <c r="K26" s="223"/>
      <c r="L26" s="221" t="s">
        <v>20</v>
      </c>
      <c r="M26" s="222"/>
      <c r="N26" s="222"/>
      <c r="O26" s="223"/>
      <c r="P26" s="224" t="s">
        <v>1780</v>
      </c>
      <c r="Q26" s="225"/>
      <c r="R26" s="225"/>
      <c r="S26" s="225"/>
      <c r="T26" s="226"/>
      <c r="U26" s="224" t="s">
        <v>10</v>
      </c>
      <c r="V26" s="225"/>
      <c r="W26" s="225"/>
      <c r="X26" s="225"/>
      <c r="Y26" s="225"/>
      <c r="Z26" s="226"/>
      <c r="AX26" s="227" t="s">
        <v>18</v>
      </c>
      <c r="AY26" s="228"/>
      <c r="AZ26" s="228"/>
      <c r="BA26" s="229"/>
    </row>
    <row r="27" spans="2:55" ht="24.95" customHeight="1" x14ac:dyDescent="0.25">
      <c r="B27" s="3"/>
      <c r="C27" s="127" t="s">
        <v>5</v>
      </c>
      <c r="D27" s="128"/>
      <c r="E27" s="128"/>
      <c r="F27" s="128"/>
      <c r="G27" s="12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5"/>
      <c r="T27" s="21"/>
      <c r="U27" s="21"/>
      <c r="V27" s="21"/>
      <c r="W27" s="21"/>
      <c r="X27" s="21"/>
      <c r="Y27" s="21"/>
      <c r="Z27" s="21"/>
      <c r="AL27" t="s">
        <v>11</v>
      </c>
      <c r="AM27" t="s">
        <v>12</v>
      </c>
      <c r="AN27" t="s">
        <v>13</v>
      </c>
      <c r="AO27" t="s">
        <v>14</v>
      </c>
      <c r="AP27" t="s">
        <v>9</v>
      </c>
      <c r="AQ27" t="s">
        <v>15</v>
      </c>
      <c r="AX27" s="4"/>
      <c r="AY27" s="4"/>
      <c r="AZ27" s="4"/>
      <c r="BA27" s="4"/>
    </row>
    <row r="28" spans="2:55" ht="24.95" customHeight="1" x14ac:dyDescent="0.25">
      <c r="B28" s="3">
        <v>1</v>
      </c>
      <c r="C28" s="180" t="s">
        <v>2</v>
      </c>
      <c r="D28" s="180"/>
      <c r="E28" s="180"/>
      <c r="F28" s="180"/>
      <c r="G28" s="180"/>
      <c r="H28" s="181">
        <f>H6+H17</f>
        <v>1060</v>
      </c>
      <c r="I28" s="182"/>
      <c r="J28" s="182"/>
      <c r="K28" s="183"/>
      <c r="L28" s="215">
        <f>AX28+H28</f>
        <v>220203</v>
      </c>
      <c r="M28" s="216"/>
      <c r="N28" s="216"/>
      <c r="O28" s="217"/>
      <c r="P28" s="187">
        <f>L32-L28</f>
        <v>5940</v>
      </c>
      <c r="Q28" s="188"/>
      <c r="R28" s="188"/>
      <c r="S28" s="188"/>
      <c r="T28" s="188"/>
      <c r="U28" s="498" t="s">
        <v>1781</v>
      </c>
      <c r="V28" s="499"/>
      <c r="W28" s="499"/>
      <c r="X28" s="499"/>
      <c r="Y28" s="499"/>
      <c r="Z28" s="500"/>
      <c r="AA28" s="192"/>
      <c r="AB28" s="192"/>
      <c r="AC28" s="192"/>
      <c r="AD28" s="192"/>
      <c r="AE28" s="192"/>
      <c r="AF28" s="192"/>
      <c r="AG28" s="192"/>
      <c r="AH28" s="179"/>
      <c r="AI28" s="179"/>
      <c r="AJ28" s="179"/>
      <c r="AL28" s="1">
        <f>L28</f>
        <v>220203</v>
      </c>
      <c r="AM28" s="1">
        <f>L33</f>
        <v>215483</v>
      </c>
      <c r="AN28" s="1">
        <f>L29</f>
        <v>214303</v>
      </c>
      <c r="AO28" s="1">
        <f>L30</f>
        <v>209923</v>
      </c>
      <c r="AP28" s="6">
        <f>L34</f>
        <v>226263</v>
      </c>
      <c r="AQ28" s="2">
        <v>226263</v>
      </c>
      <c r="AX28" s="193">
        <f>AX6+AX17</f>
        <v>219143</v>
      </c>
      <c r="AY28" s="194"/>
      <c r="AZ28" s="194"/>
      <c r="BA28" s="195"/>
    </row>
    <row r="29" spans="2:55" ht="24.95" customHeight="1" x14ac:dyDescent="0.25">
      <c r="B29" s="3">
        <v>2</v>
      </c>
      <c r="C29" s="180" t="s">
        <v>3</v>
      </c>
      <c r="D29" s="180"/>
      <c r="E29" s="180"/>
      <c r="F29" s="180"/>
      <c r="G29" s="180"/>
      <c r="H29" s="181">
        <f>H7+H18</f>
        <v>0</v>
      </c>
      <c r="I29" s="182"/>
      <c r="J29" s="182"/>
      <c r="K29" s="183"/>
      <c r="L29" s="212">
        <f>AX29+H29</f>
        <v>214303</v>
      </c>
      <c r="M29" s="213"/>
      <c r="N29" s="213"/>
      <c r="O29" s="214"/>
      <c r="P29" s="187">
        <f>L33-L29</f>
        <v>1180</v>
      </c>
      <c r="Q29" s="188"/>
      <c r="R29" s="188"/>
      <c r="S29" s="188"/>
      <c r="T29" s="188"/>
      <c r="U29" s="498" t="s">
        <v>1786</v>
      </c>
      <c r="V29" s="499"/>
      <c r="W29" s="499"/>
      <c r="X29" s="499"/>
      <c r="Y29" s="499"/>
      <c r="Z29" s="500"/>
      <c r="AA29" s="179"/>
      <c r="AB29" s="179"/>
      <c r="AC29" s="179"/>
      <c r="AD29" s="179"/>
      <c r="AE29" s="179"/>
      <c r="AF29" s="179"/>
      <c r="AG29" s="192"/>
      <c r="AH29" s="179"/>
      <c r="AI29" s="179"/>
      <c r="AJ29" s="179"/>
      <c r="AX29" s="193">
        <f>AX7+AX18</f>
        <v>214303</v>
      </c>
      <c r="AY29" s="194"/>
      <c r="AZ29" s="194"/>
      <c r="BA29" s="195"/>
    </row>
    <row r="30" spans="2:55" ht="24.95" customHeight="1" x14ac:dyDescent="0.25">
      <c r="B30" s="3">
        <v>3</v>
      </c>
      <c r="C30" s="180" t="s">
        <v>4</v>
      </c>
      <c r="D30" s="180"/>
      <c r="E30" s="180"/>
      <c r="F30" s="180"/>
      <c r="G30" s="180"/>
      <c r="H30" s="181">
        <f>H8+H19</f>
        <v>590</v>
      </c>
      <c r="I30" s="182"/>
      <c r="J30" s="182"/>
      <c r="K30" s="183"/>
      <c r="L30" s="209">
        <f>AX30+H30</f>
        <v>209923</v>
      </c>
      <c r="M30" s="210"/>
      <c r="N30" s="210"/>
      <c r="O30" s="211"/>
      <c r="P30" s="187">
        <f>L29-L30</f>
        <v>4380</v>
      </c>
      <c r="Q30" s="188"/>
      <c r="R30" s="188"/>
      <c r="S30" s="188"/>
      <c r="T30" s="188"/>
      <c r="U30" s="498" t="s">
        <v>1782</v>
      </c>
      <c r="V30" s="499"/>
      <c r="W30" s="499"/>
      <c r="X30" s="499"/>
      <c r="Y30" s="499"/>
      <c r="Z30" s="500"/>
      <c r="AA30" s="179"/>
      <c r="AB30" s="179"/>
      <c r="AC30" s="179"/>
      <c r="AD30" s="179"/>
      <c r="AE30" s="179"/>
      <c r="AF30" s="179"/>
      <c r="AG30" s="192"/>
      <c r="AH30" s="179"/>
      <c r="AI30" s="179"/>
      <c r="AJ30" s="179"/>
      <c r="AX30" s="193">
        <f>AX8+AX19</f>
        <v>209333</v>
      </c>
      <c r="AY30" s="194"/>
      <c r="AZ30" s="194"/>
      <c r="BA30" s="195"/>
    </row>
    <row r="31" spans="2:55" ht="24.95" customHeight="1" x14ac:dyDescent="0.25">
      <c r="B31" s="3"/>
      <c r="C31" s="127" t="s">
        <v>6</v>
      </c>
      <c r="D31" s="128"/>
      <c r="E31" s="128"/>
      <c r="F31" s="128"/>
      <c r="G31" s="12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  <c r="T31" s="21"/>
      <c r="U31" s="501"/>
      <c r="V31" s="501"/>
      <c r="W31" s="501"/>
      <c r="X31" s="501"/>
      <c r="Y31" s="501"/>
      <c r="Z31" s="501"/>
      <c r="AA31" s="179"/>
      <c r="AB31" s="179"/>
      <c r="AC31" s="179"/>
      <c r="AD31" s="179"/>
      <c r="AE31" s="179"/>
      <c r="AF31" s="179"/>
      <c r="AG31" s="192"/>
      <c r="AH31" s="179"/>
      <c r="AI31" s="179"/>
      <c r="AJ31" s="179"/>
      <c r="AX31" s="4"/>
      <c r="AY31" s="4"/>
      <c r="AZ31" s="4"/>
      <c r="BA31" s="4"/>
    </row>
    <row r="32" spans="2:55" ht="24.95" customHeight="1" x14ac:dyDescent="0.25">
      <c r="B32" s="3">
        <v>1</v>
      </c>
      <c r="C32" s="205" t="s">
        <v>7</v>
      </c>
      <c r="D32" s="205"/>
      <c r="E32" s="205"/>
      <c r="F32" s="205"/>
      <c r="G32" s="205"/>
      <c r="H32" s="181">
        <f>H10+H21</f>
        <v>0</v>
      </c>
      <c r="I32" s="182"/>
      <c r="J32" s="182"/>
      <c r="K32" s="183"/>
      <c r="L32" s="206">
        <f>AX32+H32</f>
        <v>226143</v>
      </c>
      <c r="M32" s="207"/>
      <c r="N32" s="207"/>
      <c r="O32" s="208"/>
      <c r="P32" s="187">
        <f>226263-L32</f>
        <v>120</v>
      </c>
      <c r="Q32" s="188"/>
      <c r="R32" s="188"/>
      <c r="S32" s="188"/>
      <c r="T32" s="188"/>
      <c r="U32" s="498" t="s">
        <v>1783</v>
      </c>
      <c r="V32" s="499"/>
      <c r="W32" s="499"/>
      <c r="X32" s="499"/>
      <c r="Y32" s="499"/>
      <c r="Z32" s="500"/>
      <c r="AA32" s="179"/>
      <c r="AB32" s="179"/>
      <c r="AC32" s="179"/>
      <c r="AD32" s="179"/>
      <c r="AE32" s="179"/>
      <c r="AF32" s="179"/>
      <c r="AG32" s="192"/>
      <c r="AH32" s="179"/>
      <c r="AI32" s="179"/>
      <c r="AJ32" s="179"/>
      <c r="AX32" s="193">
        <f>AX10+AX21</f>
        <v>226143</v>
      </c>
      <c r="AY32" s="194"/>
      <c r="AZ32" s="194"/>
      <c r="BA32" s="195"/>
    </row>
    <row r="33" spans="2:53" ht="24.95" customHeight="1" x14ac:dyDescent="0.25">
      <c r="B33" s="3">
        <v>2</v>
      </c>
      <c r="C33" s="180" t="s">
        <v>8</v>
      </c>
      <c r="D33" s="180"/>
      <c r="E33" s="180"/>
      <c r="F33" s="180"/>
      <c r="G33" s="180"/>
      <c r="H33" s="181">
        <f>H11+H22</f>
        <v>600</v>
      </c>
      <c r="I33" s="182"/>
      <c r="J33" s="182"/>
      <c r="K33" s="183"/>
      <c r="L33" s="184">
        <f>AX33+H33</f>
        <v>215483</v>
      </c>
      <c r="M33" s="185"/>
      <c r="N33" s="185"/>
      <c r="O33" s="186"/>
      <c r="P33" s="187">
        <f>L28-L33</f>
        <v>4720</v>
      </c>
      <c r="Q33" s="188"/>
      <c r="R33" s="188"/>
      <c r="S33" s="188"/>
      <c r="T33" s="188"/>
      <c r="U33" s="498" t="s">
        <v>1784</v>
      </c>
      <c r="V33" s="499"/>
      <c r="W33" s="499"/>
      <c r="X33" s="499"/>
      <c r="Y33" s="499"/>
      <c r="Z33" s="500"/>
      <c r="AA33" s="179"/>
      <c r="AB33" s="179"/>
      <c r="AC33" s="179"/>
      <c r="AD33" s="179"/>
      <c r="AE33" s="179"/>
      <c r="AF33" s="179"/>
      <c r="AG33" s="192"/>
      <c r="AH33" s="179"/>
      <c r="AI33" s="179"/>
      <c r="AJ33" s="179"/>
      <c r="AX33" s="193">
        <f>AX11+AX22</f>
        <v>214883</v>
      </c>
      <c r="AY33" s="194"/>
      <c r="AZ33" s="194"/>
      <c r="BA33" s="195"/>
    </row>
    <row r="34" spans="2:53" ht="24.95" customHeight="1" x14ac:dyDescent="0.25">
      <c r="B34" s="3">
        <v>3</v>
      </c>
      <c r="C34" s="180" t="s">
        <v>9</v>
      </c>
      <c r="D34" s="180"/>
      <c r="E34" s="180"/>
      <c r="F34" s="180"/>
      <c r="G34" s="180"/>
      <c r="H34" s="181">
        <f>H12+H23</f>
        <v>0</v>
      </c>
      <c r="I34" s="182"/>
      <c r="J34" s="182"/>
      <c r="K34" s="183"/>
      <c r="L34" s="202">
        <f>AX34+H34</f>
        <v>226263</v>
      </c>
      <c r="M34" s="203"/>
      <c r="N34" s="203"/>
      <c r="O34" s="204"/>
      <c r="P34" s="187">
        <f>226263-L34</f>
        <v>0</v>
      </c>
      <c r="Q34" s="188"/>
      <c r="R34" s="188"/>
      <c r="S34" s="188"/>
      <c r="T34" s="188"/>
      <c r="U34" s="498" t="s">
        <v>1799</v>
      </c>
      <c r="V34" s="499"/>
      <c r="W34" s="499"/>
      <c r="X34" s="499"/>
      <c r="Y34" s="499"/>
      <c r="Z34" s="500"/>
      <c r="AX34" s="193">
        <f>AX12+AX23</f>
        <v>226263</v>
      </c>
      <c r="AY34" s="194"/>
      <c r="AZ34" s="194"/>
      <c r="BA34" s="195"/>
    </row>
    <row r="35" spans="2:53" ht="9" customHeight="1" x14ac:dyDescent="0.2"/>
    <row r="36" spans="2:53" ht="24.95" customHeight="1" x14ac:dyDescent="0.25">
      <c r="B36" s="220" t="s">
        <v>1798</v>
      </c>
      <c r="C36" s="220"/>
      <c r="D36" s="220"/>
      <c r="E36" s="220"/>
      <c r="F36" s="220"/>
      <c r="G36" s="220"/>
      <c r="H36" s="220" t="s">
        <v>1769</v>
      </c>
      <c r="I36" s="220"/>
      <c r="J36" s="220"/>
      <c r="K36" s="220"/>
      <c r="L36" s="220" t="s">
        <v>1770</v>
      </c>
      <c r="M36" s="220"/>
      <c r="N36" s="220"/>
      <c r="O36" s="220"/>
      <c r="P36" s="220" t="s">
        <v>1686</v>
      </c>
      <c r="Q36" s="220"/>
      <c r="R36" s="220"/>
      <c r="S36" s="220"/>
      <c r="T36" s="220"/>
      <c r="U36" s="495"/>
      <c r="V36" s="495"/>
      <c r="W36" s="495"/>
      <c r="AB36" s="220" t="s">
        <v>1798</v>
      </c>
      <c r="AC36" s="220"/>
      <c r="AD36" s="220"/>
      <c r="AE36" s="220"/>
      <c r="AF36" s="220"/>
      <c r="AG36" s="220"/>
      <c r="AH36" s="220" t="s">
        <v>1769</v>
      </c>
      <c r="AI36" s="220"/>
      <c r="AJ36" s="220"/>
      <c r="AK36" s="220"/>
      <c r="AL36" s="220" t="s">
        <v>1770</v>
      </c>
      <c r="AM36" s="220"/>
      <c r="AN36" s="220"/>
      <c r="AO36" s="220"/>
      <c r="AP36" s="220" t="s">
        <v>1686</v>
      </c>
      <c r="AQ36" s="220"/>
      <c r="AR36" s="220"/>
      <c r="AS36" s="220"/>
      <c r="AT36" s="220"/>
    </row>
    <row r="37" spans="2:53" ht="24.95" customHeight="1" x14ac:dyDescent="0.25">
      <c r="B37" s="496" t="s">
        <v>1790</v>
      </c>
      <c r="C37" s="496"/>
      <c r="D37" s="496"/>
      <c r="E37" s="496"/>
      <c r="F37" s="496"/>
      <c r="G37" s="496"/>
      <c r="H37" s="497">
        <f>القطاعات!BL70</f>
        <v>0</v>
      </c>
      <c r="I37" s="497"/>
      <c r="J37" s="497"/>
      <c r="K37" s="497"/>
      <c r="L37" s="497">
        <f>القطاعات!BR70</f>
        <v>0</v>
      </c>
      <c r="M37" s="497"/>
      <c r="N37" s="497"/>
      <c r="O37" s="497"/>
      <c r="P37" s="497">
        <f>H37+L37</f>
        <v>0</v>
      </c>
      <c r="Q37" s="497"/>
      <c r="R37" s="497"/>
      <c r="S37" s="497"/>
      <c r="T37" s="497"/>
      <c r="U37" s="495"/>
      <c r="V37" s="495"/>
      <c r="W37" s="495"/>
      <c r="AB37" s="496" t="s">
        <v>1792</v>
      </c>
      <c r="AC37" s="496"/>
      <c r="AD37" s="496"/>
      <c r="AE37" s="496"/>
      <c r="AF37" s="496"/>
      <c r="AG37" s="496"/>
      <c r="AH37" s="497">
        <f>القطاعات!BL73</f>
        <v>5989.9999999999818</v>
      </c>
      <c r="AI37" s="497"/>
      <c r="AJ37" s="497"/>
      <c r="AK37" s="497"/>
      <c r="AL37" s="497">
        <f>القطاعات!BR73</f>
        <v>5930</v>
      </c>
      <c r="AM37" s="497"/>
      <c r="AN37" s="497"/>
      <c r="AO37" s="497"/>
      <c r="AP37" s="497">
        <f t="shared" ref="AP37:AP38" si="0">AH37+AL37</f>
        <v>11919.999999999982</v>
      </c>
      <c r="AQ37" s="497"/>
      <c r="AR37" s="497"/>
      <c r="AS37" s="497"/>
      <c r="AT37" s="497"/>
    </row>
    <row r="38" spans="2:53" ht="24.95" customHeight="1" x14ac:dyDescent="0.25">
      <c r="B38" s="496" t="s">
        <v>1791</v>
      </c>
      <c r="C38" s="496"/>
      <c r="D38" s="496"/>
      <c r="E38" s="496"/>
      <c r="F38" s="496"/>
      <c r="G38" s="496"/>
      <c r="H38" s="497">
        <f>القطاعات!BL71</f>
        <v>3120.0000000000036</v>
      </c>
      <c r="I38" s="497"/>
      <c r="J38" s="497"/>
      <c r="K38" s="497"/>
      <c r="L38" s="497">
        <f>القطاعات!BR71</f>
        <v>2900</v>
      </c>
      <c r="M38" s="497"/>
      <c r="N38" s="497"/>
      <c r="O38" s="497"/>
      <c r="P38" s="497">
        <f t="shared" ref="P38:P39" si="1">H38+L38</f>
        <v>6020.0000000000036</v>
      </c>
      <c r="Q38" s="497"/>
      <c r="R38" s="497"/>
      <c r="S38" s="497"/>
      <c r="T38" s="497"/>
      <c r="U38" s="495"/>
      <c r="V38" s="495"/>
      <c r="W38" s="495"/>
      <c r="AB38" s="496" t="s">
        <v>1793</v>
      </c>
      <c r="AC38" s="496"/>
      <c r="AD38" s="496"/>
      <c r="AE38" s="496"/>
      <c r="AF38" s="496"/>
      <c r="AG38" s="496"/>
      <c r="AH38" s="497">
        <f>القطاعات!BL74</f>
        <v>8000</v>
      </c>
      <c r="AI38" s="497"/>
      <c r="AJ38" s="497"/>
      <c r="AK38" s="497"/>
      <c r="AL38" s="497">
        <f>القطاعات!BR74</f>
        <v>8340</v>
      </c>
      <c r="AM38" s="497"/>
      <c r="AN38" s="497"/>
      <c r="AO38" s="497"/>
      <c r="AP38" s="497">
        <f t="shared" si="0"/>
        <v>16340</v>
      </c>
      <c r="AQ38" s="497"/>
      <c r="AR38" s="497"/>
      <c r="AS38" s="497"/>
      <c r="AT38" s="497"/>
    </row>
    <row r="39" spans="2:53" ht="24.95" customHeight="1" x14ac:dyDescent="0.25">
      <c r="B39" s="496" t="s">
        <v>1794</v>
      </c>
      <c r="C39" s="496"/>
      <c r="D39" s="496"/>
      <c r="E39" s="496"/>
      <c r="F39" s="496"/>
      <c r="G39" s="496"/>
      <c r="H39" s="497">
        <f>القطاعات!BL72</f>
        <v>5989.9999999999818</v>
      </c>
      <c r="I39" s="497"/>
      <c r="J39" s="497"/>
      <c r="K39" s="497"/>
      <c r="L39" s="497">
        <f>القطاعات!BR72</f>
        <v>4749.9999999999709</v>
      </c>
      <c r="M39" s="497"/>
      <c r="N39" s="497"/>
      <c r="O39" s="497"/>
      <c r="P39" s="497">
        <f t="shared" si="1"/>
        <v>10739.999999999953</v>
      </c>
      <c r="Q39" s="497"/>
      <c r="R39" s="497"/>
      <c r="S39" s="497"/>
      <c r="T39" s="497"/>
      <c r="U39" s="495"/>
      <c r="V39" s="495"/>
      <c r="W39" s="495"/>
      <c r="AB39" s="196" t="s">
        <v>1788</v>
      </c>
      <c r="AC39" s="197"/>
      <c r="AD39" s="197"/>
      <c r="AE39" s="197"/>
      <c r="AF39" s="197"/>
      <c r="AG39" s="198"/>
      <c r="AH39" s="199">
        <f>L34-L30</f>
        <v>16340</v>
      </c>
      <c r="AI39" s="200"/>
      <c r="AJ39" s="200"/>
      <c r="AK39" s="200"/>
      <c r="AL39" s="200" t="s">
        <v>1787</v>
      </c>
      <c r="AM39" s="200"/>
      <c r="AN39" s="200"/>
      <c r="AO39" s="200"/>
      <c r="AP39" s="502"/>
      <c r="AQ39" s="502"/>
      <c r="AR39" s="502"/>
      <c r="AS39" s="502"/>
      <c r="AT39" s="503"/>
    </row>
  </sheetData>
  <mergeCells count="208">
    <mergeCell ref="B36:G36"/>
    <mergeCell ref="AB36:AG36"/>
    <mergeCell ref="AH36:AK36"/>
    <mergeCell ref="AL36:AO36"/>
    <mergeCell ref="AP36:AT36"/>
    <mergeCell ref="AB37:AG37"/>
    <mergeCell ref="AH37:AK37"/>
    <mergeCell ref="AL37:AO37"/>
    <mergeCell ref="AP37:AT37"/>
    <mergeCell ref="AB38:AG38"/>
    <mergeCell ref="AH38:AK38"/>
    <mergeCell ref="AL38:AO38"/>
    <mergeCell ref="AP38:AT38"/>
    <mergeCell ref="AB39:AG39"/>
    <mergeCell ref="AH39:AK39"/>
    <mergeCell ref="AL39:AO39"/>
    <mergeCell ref="AP39:AT39"/>
    <mergeCell ref="H36:K36"/>
    <mergeCell ref="L39:O39"/>
    <mergeCell ref="L38:O38"/>
    <mergeCell ref="L37:O37"/>
    <mergeCell ref="L36:O36"/>
    <mergeCell ref="P39:T39"/>
    <mergeCell ref="P38:T38"/>
    <mergeCell ref="P37:T37"/>
    <mergeCell ref="P36:T36"/>
    <mergeCell ref="B37:G37"/>
    <mergeCell ref="B38:G38"/>
    <mergeCell ref="B39:G39"/>
    <mergeCell ref="H37:K37"/>
    <mergeCell ref="H38:K38"/>
    <mergeCell ref="H39:K39"/>
    <mergeCell ref="B1:Z1"/>
    <mergeCell ref="B2:Z2"/>
    <mergeCell ref="AF2:AG2"/>
    <mergeCell ref="AH2:AK2"/>
    <mergeCell ref="AL2:AM2"/>
    <mergeCell ref="B3:Z3"/>
    <mergeCell ref="AX4:BA4"/>
    <mergeCell ref="C5:G5"/>
    <mergeCell ref="AX5:BA5"/>
    <mergeCell ref="C6:G6"/>
    <mergeCell ref="H6:K6"/>
    <mergeCell ref="L6:O6"/>
    <mergeCell ref="P6:S6"/>
    <mergeCell ref="T6:V6"/>
    <mergeCell ref="W6:Z6"/>
    <mergeCell ref="AX6:BA6"/>
    <mergeCell ref="C4:G4"/>
    <mergeCell ref="H4:K4"/>
    <mergeCell ref="L4:O4"/>
    <mergeCell ref="P4:S4"/>
    <mergeCell ref="T4:V4"/>
    <mergeCell ref="W4:Z4"/>
    <mergeCell ref="AX7:BA7"/>
    <mergeCell ref="C8:G8"/>
    <mergeCell ref="H8:K8"/>
    <mergeCell ref="L8:O8"/>
    <mergeCell ref="P8:S8"/>
    <mergeCell ref="T8:V8"/>
    <mergeCell ref="W8:Z8"/>
    <mergeCell ref="AX8:BA8"/>
    <mergeCell ref="C7:G7"/>
    <mergeCell ref="H7:K7"/>
    <mergeCell ref="L7:O7"/>
    <mergeCell ref="P7:S7"/>
    <mergeCell ref="T7:V7"/>
    <mergeCell ref="W7:Z7"/>
    <mergeCell ref="C9:G9"/>
    <mergeCell ref="C10:G10"/>
    <mergeCell ref="H10:K10"/>
    <mergeCell ref="L10:O10"/>
    <mergeCell ref="P10:S10"/>
    <mergeCell ref="T10:V10"/>
    <mergeCell ref="W10:Z10"/>
    <mergeCell ref="AX10:BA10"/>
    <mergeCell ref="B14:Z14"/>
    <mergeCell ref="AX11:BA11"/>
    <mergeCell ref="C12:G12"/>
    <mergeCell ref="H12:K12"/>
    <mergeCell ref="L12:O12"/>
    <mergeCell ref="P12:S12"/>
    <mergeCell ref="T12:V12"/>
    <mergeCell ref="W12:Z12"/>
    <mergeCell ref="AX12:BA12"/>
    <mergeCell ref="C11:G11"/>
    <mergeCell ref="H11:K11"/>
    <mergeCell ref="L11:O11"/>
    <mergeCell ref="P11:S11"/>
    <mergeCell ref="T11:V11"/>
    <mergeCell ref="W11:Z11"/>
    <mergeCell ref="AX15:BA15"/>
    <mergeCell ref="C17:G17"/>
    <mergeCell ref="H17:K17"/>
    <mergeCell ref="L17:O17"/>
    <mergeCell ref="P17:S17"/>
    <mergeCell ref="T17:V17"/>
    <mergeCell ref="W17:Z17"/>
    <mergeCell ref="AA17:AF17"/>
    <mergeCell ref="AG17:AJ17"/>
    <mergeCell ref="AX17:BA17"/>
    <mergeCell ref="C15:G15"/>
    <mergeCell ref="H15:K15"/>
    <mergeCell ref="L15:O15"/>
    <mergeCell ref="P15:S15"/>
    <mergeCell ref="T15:V15"/>
    <mergeCell ref="W15:Z15"/>
    <mergeCell ref="AA18:AF18"/>
    <mergeCell ref="AG18:AJ18"/>
    <mergeCell ref="AX18:BA18"/>
    <mergeCell ref="C19:G19"/>
    <mergeCell ref="H19:K19"/>
    <mergeCell ref="L19:O19"/>
    <mergeCell ref="P19:S19"/>
    <mergeCell ref="T19:V19"/>
    <mergeCell ref="W19:Z19"/>
    <mergeCell ref="AA19:AF19"/>
    <mergeCell ref="C18:G18"/>
    <mergeCell ref="H18:K18"/>
    <mergeCell ref="L18:O18"/>
    <mergeCell ref="P18:S18"/>
    <mergeCell ref="T18:V18"/>
    <mergeCell ref="W18:Z18"/>
    <mergeCell ref="AG19:AJ19"/>
    <mergeCell ref="AX19:BA19"/>
    <mergeCell ref="AA20:AF20"/>
    <mergeCell ref="AG20:AJ20"/>
    <mergeCell ref="C21:G21"/>
    <mergeCell ref="H21:K21"/>
    <mergeCell ref="L21:O21"/>
    <mergeCell ref="P21:S21"/>
    <mergeCell ref="T21:V21"/>
    <mergeCell ref="W21:Z21"/>
    <mergeCell ref="AA21:AF21"/>
    <mergeCell ref="AG21:AJ21"/>
    <mergeCell ref="AX21:BA21"/>
    <mergeCell ref="C22:G22"/>
    <mergeCell ref="H22:K22"/>
    <mergeCell ref="L22:O22"/>
    <mergeCell ref="P22:S22"/>
    <mergeCell ref="T22:V22"/>
    <mergeCell ref="W22:Z22"/>
    <mergeCell ref="AA22:AF22"/>
    <mergeCell ref="AG22:AJ22"/>
    <mergeCell ref="AX22:BA22"/>
    <mergeCell ref="C23:G23"/>
    <mergeCell ref="H23:K23"/>
    <mergeCell ref="L23:O23"/>
    <mergeCell ref="P23:S23"/>
    <mergeCell ref="T23:V23"/>
    <mergeCell ref="W23:Z23"/>
    <mergeCell ref="AX23:BA23"/>
    <mergeCell ref="C26:G26"/>
    <mergeCell ref="H26:K26"/>
    <mergeCell ref="L26:O26"/>
    <mergeCell ref="P26:T26"/>
    <mergeCell ref="U26:Z26"/>
    <mergeCell ref="AX26:BA26"/>
    <mergeCell ref="B25:Z25"/>
    <mergeCell ref="AA30:AF30"/>
    <mergeCell ref="AG32:AJ32"/>
    <mergeCell ref="AX32:BA32"/>
    <mergeCell ref="AG28:AJ28"/>
    <mergeCell ref="AX28:BA28"/>
    <mergeCell ref="C29:G29"/>
    <mergeCell ref="H29:K29"/>
    <mergeCell ref="L29:O29"/>
    <mergeCell ref="P29:T29"/>
    <mergeCell ref="U29:Z29"/>
    <mergeCell ref="AA29:AF29"/>
    <mergeCell ref="AG29:AJ29"/>
    <mergeCell ref="AX29:BA29"/>
    <mergeCell ref="C28:G28"/>
    <mergeCell ref="H28:K28"/>
    <mergeCell ref="L28:O28"/>
    <mergeCell ref="P28:T28"/>
    <mergeCell ref="U28:Z28"/>
    <mergeCell ref="AA28:AF28"/>
    <mergeCell ref="C34:G34"/>
    <mergeCell ref="H34:K34"/>
    <mergeCell ref="L34:O34"/>
    <mergeCell ref="P34:T34"/>
    <mergeCell ref="U34:Z34"/>
    <mergeCell ref="AX34:BA34"/>
    <mergeCell ref="BB21:BC21"/>
    <mergeCell ref="C33:G33"/>
    <mergeCell ref="H33:K33"/>
    <mergeCell ref="L33:O33"/>
    <mergeCell ref="P33:T33"/>
    <mergeCell ref="U33:Z33"/>
    <mergeCell ref="AA33:AF33"/>
    <mergeCell ref="AG33:AJ33"/>
    <mergeCell ref="AX33:BA33"/>
    <mergeCell ref="AG30:AJ30"/>
    <mergeCell ref="AX30:BA30"/>
    <mergeCell ref="AA31:AF31"/>
    <mergeCell ref="AG31:AJ31"/>
    <mergeCell ref="C32:G32"/>
    <mergeCell ref="H32:K32"/>
    <mergeCell ref="L32:O32"/>
    <mergeCell ref="P32:T32"/>
    <mergeCell ref="U32:Z32"/>
    <mergeCell ref="AA32:AF32"/>
    <mergeCell ref="C30:G30"/>
    <mergeCell ref="H30:K30"/>
    <mergeCell ref="L30:O30"/>
    <mergeCell ref="P30:T30"/>
    <mergeCell ref="U30:Z30"/>
  </mergeCells>
  <pageMargins left="0.78740157480314965" right="0.78740157480314965" top="0.98425196850393704" bottom="0" header="0.31496062992125984" footer="0.31496062992125984"/>
  <pageSetup paperSize="8" scale="70" orientation="landscape" r:id="rId1"/>
  <rowBreaks count="1" manualBreakCount="1">
    <brk id="40" max="47" man="1"/>
  </rowBreaks>
  <colBreaks count="1" manualBreakCount="1">
    <brk id="47" max="3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ورقة2"/>
  <dimension ref="B2:RN83"/>
  <sheetViews>
    <sheetView rightToLeft="1" view="pageBreakPreview" topLeftCell="A58" zoomScaleNormal="100" zoomScaleSheetLayoutView="100" workbookViewId="0">
      <selection activeCell="BN78" sqref="BN78"/>
    </sheetView>
  </sheetViews>
  <sheetFormatPr defaultRowHeight="14.25" x14ac:dyDescent="0.2"/>
  <cols>
    <col min="1" max="7" width="4.125" customWidth="1"/>
    <col min="8" max="554" width="2.125" customWidth="1"/>
  </cols>
  <sheetData>
    <row r="2" spans="2:458" x14ac:dyDescent="0.2">
      <c r="GD2" s="60"/>
      <c r="GE2" s="60"/>
      <c r="GF2" s="60"/>
      <c r="GG2" s="60"/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</row>
    <row r="3" spans="2:458" ht="31.5" customHeight="1" x14ac:dyDescent="0.2">
      <c r="B3" s="47" t="s">
        <v>296</v>
      </c>
      <c r="C3" s="48"/>
      <c r="D3" s="48"/>
      <c r="E3" s="48"/>
      <c r="F3" s="48"/>
      <c r="G3" s="49"/>
      <c r="H3" s="23" t="s">
        <v>297</v>
      </c>
      <c r="I3" s="23" t="s">
        <v>298</v>
      </c>
      <c r="J3" s="23" t="s">
        <v>299</v>
      </c>
      <c r="K3" s="23" t="s">
        <v>300</v>
      </c>
      <c r="L3" s="23" t="s">
        <v>301</v>
      </c>
      <c r="M3" s="23" t="s">
        <v>302</v>
      </c>
      <c r="N3" s="23" t="s">
        <v>303</v>
      </c>
      <c r="O3" s="23" t="s">
        <v>304</v>
      </c>
      <c r="P3" s="23" t="s">
        <v>305</v>
      </c>
      <c r="Q3" s="23" t="s">
        <v>306</v>
      </c>
      <c r="R3" s="23" t="s">
        <v>307</v>
      </c>
      <c r="S3" s="23" t="s">
        <v>308</v>
      </c>
      <c r="T3" s="23" t="s">
        <v>309</v>
      </c>
      <c r="U3" s="23" t="s">
        <v>310</v>
      </c>
      <c r="V3" s="23" t="s">
        <v>311</v>
      </c>
      <c r="W3" s="23" t="s">
        <v>312</v>
      </c>
      <c r="X3" s="23" t="s">
        <v>313</v>
      </c>
      <c r="Y3" s="23" t="s">
        <v>314</v>
      </c>
      <c r="Z3" s="23" t="s">
        <v>315</v>
      </c>
      <c r="AA3" s="23" t="s">
        <v>316</v>
      </c>
      <c r="AB3" s="23" t="s">
        <v>317</v>
      </c>
      <c r="AC3" s="23" t="s">
        <v>319</v>
      </c>
      <c r="AD3" s="23" t="s">
        <v>320</v>
      </c>
      <c r="AE3" s="23" t="s">
        <v>321</v>
      </c>
      <c r="AF3" s="23" t="s">
        <v>322</v>
      </c>
      <c r="AG3" s="23" t="s">
        <v>323</v>
      </c>
      <c r="AH3" s="23" t="s">
        <v>324</v>
      </c>
      <c r="AI3" s="23" t="s">
        <v>325</v>
      </c>
      <c r="AJ3" s="23" t="s">
        <v>326</v>
      </c>
      <c r="AK3" s="23" t="s">
        <v>327</v>
      </c>
      <c r="AL3" s="23" t="s">
        <v>328</v>
      </c>
      <c r="AM3" s="23" t="s">
        <v>329</v>
      </c>
      <c r="AN3" s="23" t="s">
        <v>330</v>
      </c>
      <c r="AO3" s="23" t="s">
        <v>331</v>
      </c>
      <c r="AP3" s="23" t="s">
        <v>332</v>
      </c>
      <c r="AQ3" s="23" t="s">
        <v>333</v>
      </c>
      <c r="AR3" s="23" t="s">
        <v>334</v>
      </c>
      <c r="AS3" s="23" t="s">
        <v>335</v>
      </c>
      <c r="AT3" s="23" t="s">
        <v>336</v>
      </c>
      <c r="AU3" s="23" t="s">
        <v>337</v>
      </c>
      <c r="AV3" s="23" t="s">
        <v>338</v>
      </c>
      <c r="AW3" s="23" t="s">
        <v>339</v>
      </c>
      <c r="AX3" s="23" t="s">
        <v>340</v>
      </c>
      <c r="AY3" s="23" t="s">
        <v>341</v>
      </c>
      <c r="AZ3" s="23" t="s">
        <v>342</v>
      </c>
      <c r="BA3" s="23" t="s">
        <v>343</v>
      </c>
      <c r="BB3" s="23" t="s">
        <v>344</v>
      </c>
      <c r="BC3" s="23" t="s">
        <v>345</v>
      </c>
      <c r="BD3" s="23" t="s">
        <v>346</v>
      </c>
      <c r="BE3" s="23" t="s">
        <v>347</v>
      </c>
      <c r="BF3" s="23" t="s">
        <v>348</v>
      </c>
      <c r="BG3" s="23" t="s">
        <v>349</v>
      </c>
      <c r="BH3" s="23" t="s">
        <v>350</v>
      </c>
      <c r="BI3" s="23" t="s">
        <v>351</v>
      </c>
      <c r="BJ3" s="23" t="s">
        <v>352</v>
      </c>
      <c r="BK3" s="23" t="s">
        <v>353</v>
      </c>
      <c r="BL3" s="23" t="s">
        <v>354</v>
      </c>
      <c r="BM3" s="23" t="s">
        <v>355</v>
      </c>
      <c r="BN3" s="23" t="s">
        <v>356</v>
      </c>
      <c r="BO3" s="23" t="s">
        <v>357</v>
      </c>
      <c r="BP3" s="23" t="s">
        <v>358</v>
      </c>
      <c r="BQ3" s="23" t="s">
        <v>359</v>
      </c>
      <c r="BR3" s="23" t="s">
        <v>360</v>
      </c>
      <c r="BS3" s="23" t="s">
        <v>361</v>
      </c>
      <c r="BT3" s="23" t="s">
        <v>362</v>
      </c>
      <c r="BU3" s="23" t="s">
        <v>363</v>
      </c>
      <c r="BV3" s="23" t="s">
        <v>364</v>
      </c>
      <c r="BW3" s="23" t="s">
        <v>365</v>
      </c>
      <c r="BX3" s="23" t="s">
        <v>366</v>
      </c>
      <c r="BY3" s="23" t="s">
        <v>367</v>
      </c>
      <c r="BZ3" s="23" t="s">
        <v>368</v>
      </c>
      <c r="CA3" s="23" t="s">
        <v>369</v>
      </c>
      <c r="CB3" s="23" t="s">
        <v>370</v>
      </c>
      <c r="CC3" s="23" t="s">
        <v>371</v>
      </c>
      <c r="CD3" s="23" t="s">
        <v>372</v>
      </c>
      <c r="CE3" s="23" t="s">
        <v>373</v>
      </c>
      <c r="CF3" s="23" t="s">
        <v>374</v>
      </c>
      <c r="CG3" s="23" t="s">
        <v>375</v>
      </c>
      <c r="CH3" s="23" t="s">
        <v>376</v>
      </c>
      <c r="CI3" s="23" t="s">
        <v>377</v>
      </c>
      <c r="CJ3" s="23" t="s">
        <v>378</v>
      </c>
      <c r="CK3" s="23" t="s">
        <v>379</v>
      </c>
      <c r="CL3" s="23" t="s">
        <v>380</v>
      </c>
      <c r="CM3" s="23" t="s">
        <v>381</v>
      </c>
      <c r="CN3" s="23" t="s">
        <v>382</v>
      </c>
      <c r="CO3" s="23" t="s">
        <v>383</v>
      </c>
      <c r="CP3" s="23" t="s">
        <v>384</v>
      </c>
      <c r="CQ3" s="23" t="s">
        <v>385</v>
      </c>
      <c r="CR3" s="23" t="s">
        <v>386</v>
      </c>
      <c r="CS3" s="23" t="s">
        <v>387</v>
      </c>
      <c r="CT3" s="23" t="s">
        <v>388</v>
      </c>
      <c r="CU3" s="23" t="s">
        <v>389</v>
      </c>
      <c r="CV3" s="23" t="s">
        <v>390</v>
      </c>
      <c r="CW3" s="23" t="s">
        <v>391</v>
      </c>
      <c r="CX3" s="23" t="s">
        <v>392</v>
      </c>
      <c r="CY3" s="23" t="s">
        <v>393</v>
      </c>
      <c r="CZ3" s="23" t="s">
        <v>394</v>
      </c>
      <c r="DA3" s="23" t="s">
        <v>395</v>
      </c>
      <c r="DB3" s="23" t="s">
        <v>396</v>
      </c>
      <c r="DC3" s="23" t="s">
        <v>397</v>
      </c>
      <c r="DD3" s="23" t="s">
        <v>398</v>
      </c>
      <c r="DE3" s="23" t="s">
        <v>399</v>
      </c>
      <c r="DF3" s="23" t="s">
        <v>400</v>
      </c>
      <c r="DG3" s="23" t="s">
        <v>401</v>
      </c>
      <c r="DH3" s="23" t="s">
        <v>402</v>
      </c>
      <c r="DI3" s="23" t="s">
        <v>403</v>
      </c>
      <c r="DJ3" s="23" t="s">
        <v>404</v>
      </c>
      <c r="DK3" s="23" t="s">
        <v>405</v>
      </c>
      <c r="DL3" s="23" t="s">
        <v>406</v>
      </c>
      <c r="DM3" s="23" t="s">
        <v>407</v>
      </c>
      <c r="DN3" s="23" t="s">
        <v>408</v>
      </c>
      <c r="DO3" s="23" t="s">
        <v>409</v>
      </c>
      <c r="DP3" s="23" t="s">
        <v>410</v>
      </c>
      <c r="DQ3" s="23" t="s">
        <v>411</v>
      </c>
      <c r="DR3" s="23" t="s">
        <v>412</v>
      </c>
      <c r="DS3" s="23" t="s">
        <v>413</v>
      </c>
      <c r="DT3" s="23" t="s">
        <v>414</v>
      </c>
      <c r="DU3" s="23" t="s">
        <v>415</v>
      </c>
      <c r="DV3" s="23" t="s">
        <v>416</v>
      </c>
      <c r="DW3" s="23" t="s">
        <v>417</v>
      </c>
      <c r="DX3" s="23" t="s">
        <v>418</v>
      </c>
      <c r="DY3" s="23" t="s">
        <v>419</v>
      </c>
      <c r="DZ3" s="23" t="s">
        <v>420</v>
      </c>
      <c r="EA3" s="23" t="s">
        <v>421</v>
      </c>
      <c r="EB3" s="23" t="s">
        <v>422</v>
      </c>
      <c r="EC3" s="23" t="s">
        <v>423</v>
      </c>
      <c r="ED3" s="23" t="s">
        <v>424</v>
      </c>
      <c r="EE3" s="23" t="s">
        <v>425</v>
      </c>
      <c r="EF3" s="23" t="s">
        <v>426</v>
      </c>
      <c r="EG3" s="23" t="s">
        <v>427</v>
      </c>
      <c r="EH3" s="23" t="s">
        <v>428</v>
      </c>
      <c r="EI3" s="23" t="s">
        <v>429</v>
      </c>
      <c r="EJ3" s="23" t="s">
        <v>430</v>
      </c>
      <c r="EK3" s="23" t="s">
        <v>431</v>
      </c>
      <c r="EL3" s="23" t="s">
        <v>432</v>
      </c>
      <c r="EM3" s="23" t="s">
        <v>433</v>
      </c>
      <c r="EN3" s="23" t="s">
        <v>434</v>
      </c>
      <c r="EO3" s="23" t="s">
        <v>435</v>
      </c>
      <c r="EP3" s="23" t="s">
        <v>436</v>
      </c>
      <c r="EQ3" s="23" t="s">
        <v>437</v>
      </c>
      <c r="ER3" s="23" t="s">
        <v>438</v>
      </c>
      <c r="ES3" s="23" t="s">
        <v>439</v>
      </c>
      <c r="ET3" s="23" t="s">
        <v>440</v>
      </c>
      <c r="EU3" s="23" t="s">
        <v>441</v>
      </c>
      <c r="EV3" s="23" t="s">
        <v>442</v>
      </c>
      <c r="EW3" s="23" t="s">
        <v>443</v>
      </c>
      <c r="EX3" s="23" t="s">
        <v>444</v>
      </c>
      <c r="EY3" s="23" t="s">
        <v>445</v>
      </c>
      <c r="EZ3" s="23" t="s">
        <v>446</v>
      </c>
      <c r="FA3" s="23" t="s">
        <v>447</v>
      </c>
      <c r="FB3" s="23" t="s">
        <v>448</v>
      </c>
      <c r="FC3" s="23" t="s">
        <v>449</v>
      </c>
      <c r="FD3" s="23" t="s">
        <v>450</v>
      </c>
      <c r="FE3" s="23" t="s">
        <v>451</v>
      </c>
      <c r="FF3" s="23" t="s">
        <v>452</v>
      </c>
      <c r="FG3" s="23" t="s">
        <v>453</v>
      </c>
      <c r="FH3" s="23" t="s">
        <v>454</v>
      </c>
      <c r="FI3" s="23" t="s">
        <v>455</v>
      </c>
      <c r="FJ3" s="23" t="s">
        <v>456</v>
      </c>
      <c r="FK3" s="23" t="s">
        <v>457</v>
      </c>
      <c r="FL3" s="23" t="s">
        <v>458</v>
      </c>
      <c r="FM3" s="23" t="s">
        <v>459</v>
      </c>
      <c r="FN3" s="23" t="s">
        <v>460</v>
      </c>
      <c r="FO3" s="23" t="s">
        <v>461</v>
      </c>
      <c r="FP3" s="23" t="s">
        <v>462</v>
      </c>
      <c r="FQ3" s="23" t="s">
        <v>463</v>
      </c>
      <c r="FR3" s="23" t="s">
        <v>464</v>
      </c>
      <c r="FS3" s="23" t="s">
        <v>465</v>
      </c>
      <c r="FT3" s="23" t="s">
        <v>466</v>
      </c>
      <c r="FU3" s="23" t="s">
        <v>467</v>
      </c>
      <c r="FV3" s="23" t="s">
        <v>468</v>
      </c>
      <c r="FW3" s="23" t="s">
        <v>469</v>
      </c>
      <c r="FX3" s="23" t="s">
        <v>470</v>
      </c>
      <c r="FY3" s="23" t="s">
        <v>471</v>
      </c>
      <c r="FZ3" s="23" t="s">
        <v>472</v>
      </c>
      <c r="GA3" s="23" t="s">
        <v>473</v>
      </c>
      <c r="GB3" s="23" t="s">
        <v>474</v>
      </c>
      <c r="GC3" s="23" t="s">
        <v>475</v>
      </c>
      <c r="GD3" s="23" t="s">
        <v>476</v>
      </c>
      <c r="GE3" s="23" t="s">
        <v>477</v>
      </c>
      <c r="GF3" s="23" t="s">
        <v>478</v>
      </c>
      <c r="GG3" s="23" t="s">
        <v>479</v>
      </c>
      <c r="GH3" s="23" t="s">
        <v>480</v>
      </c>
      <c r="GI3" s="23" t="s">
        <v>481</v>
      </c>
      <c r="GJ3" s="23" t="s">
        <v>482</v>
      </c>
      <c r="GK3" s="23" t="s">
        <v>483</v>
      </c>
      <c r="GL3" s="23" t="s">
        <v>484</v>
      </c>
      <c r="GM3" s="23" t="s">
        <v>485</v>
      </c>
      <c r="GN3" s="23" t="s">
        <v>486</v>
      </c>
      <c r="GO3" s="23" t="s">
        <v>487</v>
      </c>
      <c r="GP3" s="23" t="s">
        <v>488</v>
      </c>
      <c r="GQ3" s="23" t="s">
        <v>489</v>
      </c>
      <c r="GR3" s="23" t="s">
        <v>490</v>
      </c>
      <c r="GS3" s="23" t="s">
        <v>491</v>
      </c>
      <c r="GT3" s="23" t="s">
        <v>492</v>
      </c>
      <c r="GU3" s="23" t="s">
        <v>493</v>
      </c>
      <c r="GV3" s="23" t="s">
        <v>494</v>
      </c>
      <c r="GW3" s="23" t="s">
        <v>495</v>
      </c>
      <c r="GX3" s="23" t="s">
        <v>496</v>
      </c>
      <c r="GY3" s="23" t="s">
        <v>497</v>
      </c>
      <c r="GZ3" s="23" t="s">
        <v>498</v>
      </c>
      <c r="HA3" s="23" t="s">
        <v>499</v>
      </c>
      <c r="HB3" s="23" t="s">
        <v>500</v>
      </c>
      <c r="HC3" s="23" t="s">
        <v>501</v>
      </c>
      <c r="HD3" s="23" t="s">
        <v>502</v>
      </c>
      <c r="HE3" s="23" t="s">
        <v>503</v>
      </c>
      <c r="HF3" s="23" t="s">
        <v>504</v>
      </c>
      <c r="HG3" s="23" t="s">
        <v>505</v>
      </c>
      <c r="HH3" s="23" t="s">
        <v>506</v>
      </c>
      <c r="HI3" s="23" t="s">
        <v>507</v>
      </c>
      <c r="HJ3" s="23" t="s">
        <v>508</v>
      </c>
      <c r="HK3" s="23" t="s">
        <v>509</v>
      </c>
      <c r="HL3" s="23" t="s">
        <v>510</v>
      </c>
      <c r="HM3" s="23" t="s">
        <v>511</v>
      </c>
      <c r="HN3" s="23" t="s">
        <v>512</v>
      </c>
      <c r="HO3" s="23" t="s">
        <v>513</v>
      </c>
      <c r="HP3" s="23" t="s">
        <v>514</v>
      </c>
      <c r="HQ3" s="23" t="s">
        <v>515</v>
      </c>
      <c r="HR3" s="23" t="s">
        <v>516</v>
      </c>
      <c r="HS3" s="23" t="s">
        <v>517</v>
      </c>
      <c r="HT3" s="23" t="s">
        <v>518</v>
      </c>
      <c r="HU3" s="23" t="s">
        <v>519</v>
      </c>
      <c r="HV3" s="23" t="s">
        <v>520</v>
      </c>
      <c r="HW3" s="23" t="s">
        <v>521</v>
      </c>
      <c r="HX3" s="23" t="s">
        <v>522</v>
      </c>
      <c r="HY3" s="23" t="s">
        <v>523</v>
      </c>
      <c r="HZ3" s="23" t="s">
        <v>524</v>
      </c>
      <c r="IA3" s="23" t="s">
        <v>525</v>
      </c>
      <c r="IB3" s="23" t="s">
        <v>526</v>
      </c>
      <c r="IC3" s="23" t="s">
        <v>527</v>
      </c>
      <c r="ID3" s="23" t="s">
        <v>528</v>
      </c>
      <c r="IE3" s="23" t="s">
        <v>529</v>
      </c>
      <c r="IF3" s="23" t="s">
        <v>530</v>
      </c>
      <c r="IG3" s="23" t="s">
        <v>531</v>
      </c>
      <c r="IH3" s="23" t="s">
        <v>532</v>
      </c>
      <c r="II3" s="23" t="s">
        <v>533</v>
      </c>
      <c r="IJ3" s="23" t="s">
        <v>534</v>
      </c>
      <c r="IK3" s="23" t="s">
        <v>535</v>
      </c>
      <c r="IL3" s="23" t="s">
        <v>536</v>
      </c>
      <c r="IM3" s="23" t="s">
        <v>537</v>
      </c>
      <c r="IN3" s="23" t="s">
        <v>538</v>
      </c>
      <c r="IO3" s="23" t="s">
        <v>539</v>
      </c>
      <c r="IP3" s="23" t="s">
        <v>540</v>
      </c>
      <c r="IQ3" s="23" t="s">
        <v>541</v>
      </c>
      <c r="IR3" s="23" t="s">
        <v>542</v>
      </c>
      <c r="IS3" s="23" t="s">
        <v>543</v>
      </c>
      <c r="IT3" s="23" t="s">
        <v>544</v>
      </c>
      <c r="IU3" s="23" t="s">
        <v>545</v>
      </c>
      <c r="IV3" s="23" t="s">
        <v>546</v>
      </c>
      <c r="IW3" s="23" t="s">
        <v>547</v>
      </c>
      <c r="IX3" s="23" t="s">
        <v>548</v>
      </c>
      <c r="IY3" s="23" t="s">
        <v>549</v>
      </c>
      <c r="IZ3" s="23" t="s">
        <v>550</v>
      </c>
      <c r="JA3" s="23" t="s">
        <v>551</v>
      </c>
      <c r="JB3" s="23" t="s">
        <v>552</v>
      </c>
      <c r="JC3" s="23" t="s">
        <v>553</v>
      </c>
      <c r="JD3" s="23" t="s">
        <v>554</v>
      </c>
      <c r="JE3" s="23" t="s">
        <v>555</v>
      </c>
      <c r="JF3" s="23" t="s">
        <v>556</v>
      </c>
      <c r="JG3" s="23" t="s">
        <v>557</v>
      </c>
      <c r="JH3" s="23" t="s">
        <v>558</v>
      </c>
      <c r="JI3" s="23" t="s">
        <v>559</v>
      </c>
      <c r="JJ3" s="23" t="s">
        <v>560</v>
      </c>
      <c r="JK3" s="23" t="s">
        <v>561</v>
      </c>
      <c r="JL3" s="23" t="s">
        <v>562</v>
      </c>
      <c r="JM3" s="23" t="s">
        <v>563</v>
      </c>
      <c r="JN3" s="23" t="s">
        <v>564</v>
      </c>
      <c r="JO3" s="23" t="s">
        <v>565</v>
      </c>
      <c r="JP3" s="23" t="s">
        <v>566</v>
      </c>
      <c r="JQ3" s="23" t="s">
        <v>567</v>
      </c>
      <c r="JR3" s="23" t="s">
        <v>568</v>
      </c>
      <c r="JS3" s="23" t="s">
        <v>569</v>
      </c>
      <c r="JT3" s="23" t="s">
        <v>570</v>
      </c>
      <c r="JU3" s="23" t="s">
        <v>571</v>
      </c>
      <c r="JV3" s="23" t="s">
        <v>572</v>
      </c>
      <c r="JW3" s="23" t="s">
        <v>573</v>
      </c>
      <c r="JX3" s="23" t="s">
        <v>574</v>
      </c>
      <c r="JY3" s="23" t="s">
        <v>575</v>
      </c>
      <c r="JZ3" s="23" t="s">
        <v>576</v>
      </c>
      <c r="KA3" s="23" t="s">
        <v>577</v>
      </c>
      <c r="KB3" s="23" t="s">
        <v>578</v>
      </c>
      <c r="KC3" s="23" t="s">
        <v>579</v>
      </c>
      <c r="KD3" s="23" t="s">
        <v>580</v>
      </c>
      <c r="KE3" s="23" t="s">
        <v>581</v>
      </c>
      <c r="KF3" s="23" t="s">
        <v>582</v>
      </c>
      <c r="KG3" s="23" t="s">
        <v>583</v>
      </c>
      <c r="KH3" s="23" t="s">
        <v>584</v>
      </c>
      <c r="KI3" s="23" t="s">
        <v>585</v>
      </c>
      <c r="KJ3" s="23" t="s">
        <v>586</v>
      </c>
      <c r="KK3" s="23" t="s">
        <v>587</v>
      </c>
      <c r="KL3" s="23" t="s">
        <v>588</v>
      </c>
      <c r="KM3" s="23" t="s">
        <v>589</v>
      </c>
      <c r="KN3" s="23" t="s">
        <v>590</v>
      </c>
      <c r="KO3" s="23" t="s">
        <v>591</v>
      </c>
      <c r="KP3" s="23" t="s">
        <v>592</v>
      </c>
      <c r="KQ3" s="23" t="s">
        <v>593</v>
      </c>
      <c r="KR3" s="23" t="s">
        <v>594</v>
      </c>
      <c r="KS3" s="23" t="s">
        <v>595</v>
      </c>
      <c r="KT3" s="23" t="s">
        <v>596</v>
      </c>
      <c r="KU3" s="23" t="s">
        <v>597</v>
      </c>
      <c r="KV3" s="23" t="s">
        <v>598</v>
      </c>
      <c r="KW3" s="23" t="s">
        <v>599</v>
      </c>
      <c r="KX3" s="23" t="s">
        <v>600</v>
      </c>
      <c r="KY3" s="23" t="s">
        <v>601</v>
      </c>
      <c r="KZ3" s="23" t="s">
        <v>602</v>
      </c>
      <c r="LA3" s="23" t="s">
        <v>603</v>
      </c>
      <c r="LB3" s="23" t="s">
        <v>604</v>
      </c>
      <c r="LC3" s="23" t="s">
        <v>605</v>
      </c>
      <c r="LD3" s="23" t="s">
        <v>606</v>
      </c>
      <c r="LE3" s="23" t="s">
        <v>607</v>
      </c>
      <c r="LF3" s="23" t="s">
        <v>608</v>
      </c>
      <c r="LG3" s="23" t="s">
        <v>609</v>
      </c>
      <c r="LH3" s="23" t="s">
        <v>610</v>
      </c>
      <c r="LI3" s="23" t="s">
        <v>611</v>
      </c>
      <c r="LJ3" s="23" t="s">
        <v>612</v>
      </c>
      <c r="LK3" s="23" t="s">
        <v>613</v>
      </c>
      <c r="LL3" s="23" t="s">
        <v>614</v>
      </c>
      <c r="LM3" s="23" t="s">
        <v>615</v>
      </c>
      <c r="LN3" s="23" t="s">
        <v>616</v>
      </c>
      <c r="LO3" s="23" t="s">
        <v>617</v>
      </c>
      <c r="LP3" s="23" t="s">
        <v>618</v>
      </c>
      <c r="LQ3" s="23" t="s">
        <v>619</v>
      </c>
      <c r="LR3" s="23" t="s">
        <v>620</v>
      </c>
      <c r="LS3" s="23" t="s">
        <v>621</v>
      </c>
      <c r="LT3" s="23" t="s">
        <v>622</v>
      </c>
      <c r="LU3" s="23" t="s">
        <v>623</v>
      </c>
      <c r="LV3" s="23" t="s">
        <v>624</v>
      </c>
      <c r="LW3" s="23" t="s">
        <v>625</v>
      </c>
      <c r="LX3" s="23" t="s">
        <v>626</v>
      </c>
      <c r="LY3" s="23" t="s">
        <v>627</v>
      </c>
      <c r="LZ3" s="23" t="s">
        <v>628</v>
      </c>
      <c r="MA3" s="23" t="s">
        <v>629</v>
      </c>
      <c r="MB3" s="23" t="s">
        <v>630</v>
      </c>
      <c r="MC3" s="23" t="s">
        <v>631</v>
      </c>
      <c r="MD3" s="23" t="s">
        <v>632</v>
      </c>
      <c r="ME3" s="23" t="s">
        <v>633</v>
      </c>
      <c r="MF3" s="23" t="s">
        <v>634</v>
      </c>
      <c r="MG3" s="23" t="s">
        <v>635</v>
      </c>
      <c r="MH3" s="23" t="s">
        <v>636</v>
      </c>
      <c r="MI3" s="23" t="s">
        <v>637</v>
      </c>
      <c r="MJ3" s="23" t="s">
        <v>638</v>
      </c>
      <c r="MK3" s="23" t="s">
        <v>639</v>
      </c>
      <c r="ML3" s="23" t="s">
        <v>640</v>
      </c>
      <c r="MM3" s="23" t="s">
        <v>641</v>
      </c>
      <c r="MN3" s="23" t="s">
        <v>642</v>
      </c>
      <c r="MO3" s="23" t="s">
        <v>643</v>
      </c>
      <c r="MP3" s="23" t="s">
        <v>644</v>
      </c>
      <c r="MQ3" s="23" t="s">
        <v>645</v>
      </c>
      <c r="MR3" s="23" t="s">
        <v>646</v>
      </c>
      <c r="MS3" s="23" t="s">
        <v>647</v>
      </c>
      <c r="MT3" s="23" t="s">
        <v>648</v>
      </c>
      <c r="MU3" s="23" t="s">
        <v>649</v>
      </c>
      <c r="MV3" s="23" t="s">
        <v>650</v>
      </c>
      <c r="MW3" s="23" t="s">
        <v>651</v>
      </c>
      <c r="MX3" s="23" t="s">
        <v>652</v>
      </c>
      <c r="MY3" s="23" t="s">
        <v>653</v>
      </c>
      <c r="MZ3" s="23" t="s">
        <v>654</v>
      </c>
      <c r="NA3" s="23" t="s">
        <v>655</v>
      </c>
      <c r="NB3" s="23" t="s">
        <v>656</v>
      </c>
      <c r="NC3" s="23" t="s">
        <v>657</v>
      </c>
      <c r="ND3" s="23" t="s">
        <v>658</v>
      </c>
      <c r="NE3" s="23" t="s">
        <v>659</v>
      </c>
      <c r="NF3" s="23" t="s">
        <v>660</v>
      </c>
      <c r="NG3" s="23" t="s">
        <v>661</v>
      </c>
      <c r="NH3" s="23" t="s">
        <v>662</v>
      </c>
      <c r="NI3" s="23" t="s">
        <v>663</v>
      </c>
      <c r="NJ3" s="23" t="s">
        <v>664</v>
      </c>
      <c r="NK3" s="23" t="s">
        <v>665</v>
      </c>
      <c r="NL3" s="23" t="s">
        <v>666</v>
      </c>
      <c r="NM3" s="23" t="s">
        <v>667</v>
      </c>
      <c r="NN3" s="23" t="s">
        <v>668</v>
      </c>
      <c r="NO3" s="23" t="s">
        <v>669</v>
      </c>
      <c r="NP3" s="23" t="s">
        <v>670</v>
      </c>
      <c r="NQ3" s="23" t="s">
        <v>671</v>
      </c>
      <c r="NR3" s="23" t="s">
        <v>672</v>
      </c>
      <c r="NS3" s="23" t="s">
        <v>673</v>
      </c>
      <c r="NT3" s="23" t="s">
        <v>674</v>
      </c>
      <c r="NU3" s="23" t="s">
        <v>675</v>
      </c>
      <c r="NV3" s="23" t="s">
        <v>676</v>
      </c>
      <c r="NW3" s="23" t="s">
        <v>677</v>
      </c>
      <c r="NX3" s="23" t="s">
        <v>678</v>
      </c>
      <c r="NY3" s="23" t="s">
        <v>679</v>
      </c>
      <c r="NZ3" s="23" t="s">
        <v>680</v>
      </c>
      <c r="OA3" s="23" t="s">
        <v>681</v>
      </c>
      <c r="OB3" s="23" t="s">
        <v>682</v>
      </c>
      <c r="OC3" s="23" t="s">
        <v>683</v>
      </c>
      <c r="OD3" s="23" t="s">
        <v>684</v>
      </c>
      <c r="OE3" s="23" t="s">
        <v>685</v>
      </c>
      <c r="OF3" s="23" t="s">
        <v>686</v>
      </c>
      <c r="OG3" s="23" t="s">
        <v>687</v>
      </c>
      <c r="OH3" s="23" t="s">
        <v>688</v>
      </c>
      <c r="OI3" s="23" t="s">
        <v>689</v>
      </c>
      <c r="OJ3" s="23" t="s">
        <v>690</v>
      </c>
      <c r="OK3" s="23" t="s">
        <v>691</v>
      </c>
      <c r="OL3" s="23" t="s">
        <v>692</v>
      </c>
      <c r="OM3" s="23" t="s">
        <v>693</v>
      </c>
      <c r="ON3" s="23" t="s">
        <v>694</v>
      </c>
      <c r="OO3" s="23" t="s">
        <v>695</v>
      </c>
      <c r="OP3" s="23" t="s">
        <v>696</v>
      </c>
      <c r="OQ3" s="23" t="s">
        <v>697</v>
      </c>
      <c r="OR3" s="23" t="s">
        <v>698</v>
      </c>
      <c r="OS3" s="23" t="s">
        <v>699</v>
      </c>
      <c r="OT3" s="23" t="s">
        <v>700</v>
      </c>
      <c r="OU3" s="23" t="s">
        <v>701</v>
      </c>
      <c r="OV3" s="23" t="s">
        <v>702</v>
      </c>
      <c r="OW3" s="23" t="s">
        <v>703</v>
      </c>
      <c r="OX3" s="23" t="s">
        <v>704</v>
      </c>
      <c r="OY3" s="23" t="s">
        <v>705</v>
      </c>
      <c r="OZ3" s="23" t="s">
        <v>706</v>
      </c>
      <c r="PA3" s="23" t="s">
        <v>707</v>
      </c>
      <c r="PB3" s="23" t="s">
        <v>708</v>
      </c>
      <c r="PC3" s="23" t="s">
        <v>709</v>
      </c>
      <c r="PD3" s="23" t="s">
        <v>710</v>
      </c>
      <c r="PE3" s="23" t="s">
        <v>711</v>
      </c>
      <c r="PF3" s="23" t="s">
        <v>712</v>
      </c>
      <c r="PG3" s="23" t="s">
        <v>713</v>
      </c>
      <c r="PH3" s="23" t="s">
        <v>714</v>
      </c>
      <c r="PI3" s="23" t="s">
        <v>715</v>
      </c>
      <c r="PJ3" s="23" t="s">
        <v>716</v>
      </c>
      <c r="PK3" s="23" t="s">
        <v>717</v>
      </c>
      <c r="PL3" s="23" t="s">
        <v>718</v>
      </c>
      <c r="PM3" s="23" t="s">
        <v>719</v>
      </c>
      <c r="PN3" s="23" t="s">
        <v>720</v>
      </c>
      <c r="PO3" s="23" t="s">
        <v>721</v>
      </c>
      <c r="PP3" s="23" t="s">
        <v>722</v>
      </c>
      <c r="PQ3" s="23" t="s">
        <v>723</v>
      </c>
      <c r="PR3" s="23" t="s">
        <v>724</v>
      </c>
      <c r="PS3" s="23" t="s">
        <v>725</v>
      </c>
      <c r="PT3" s="23" t="s">
        <v>726</v>
      </c>
      <c r="PU3" s="23" t="s">
        <v>727</v>
      </c>
      <c r="PV3" s="23" t="s">
        <v>728</v>
      </c>
      <c r="PW3" s="23" t="s">
        <v>729</v>
      </c>
      <c r="PX3" s="23" t="s">
        <v>730</v>
      </c>
      <c r="PY3" s="23" t="s">
        <v>731</v>
      </c>
      <c r="PZ3" s="23" t="s">
        <v>732</v>
      </c>
      <c r="QA3" s="23" t="s">
        <v>733</v>
      </c>
      <c r="QB3" s="23" t="s">
        <v>734</v>
      </c>
      <c r="QC3" s="23" t="s">
        <v>735</v>
      </c>
      <c r="QD3" s="23" t="s">
        <v>736</v>
      </c>
      <c r="QE3" s="23" t="s">
        <v>737</v>
      </c>
      <c r="QF3" s="23" t="s">
        <v>738</v>
      </c>
      <c r="QG3" s="23" t="s">
        <v>739</v>
      </c>
      <c r="QH3" s="23" t="s">
        <v>740</v>
      </c>
      <c r="QI3" s="23" t="s">
        <v>741</v>
      </c>
      <c r="QJ3" s="23" t="s">
        <v>742</v>
      </c>
      <c r="QK3" s="23" t="s">
        <v>743</v>
      </c>
      <c r="QL3" s="23" t="s">
        <v>744</v>
      </c>
      <c r="QM3" s="23" t="s">
        <v>745</v>
      </c>
      <c r="QN3" s="23" t="s">
        <v>746</v>
      </c>
      <c r="QO3" s="23" t="s">
        <v>747</v>
      </c>
      <c r="QP3" s="23" t="s">
        <v>23</v>
      </c>
    </row>
    <row r="4" spans="2:458" ht="15.95" customHeight="1" x14ac:dyDescent="0.25">
      <c r="B4" s="3"/>
      <c r="C4" s="241" t="s">
        <v>5</v>
      </c>
      <c r="D4" s="242"/>
      <c r="E4" s="242"/>
      <c r="F4" s="242"/>
      <c r="G4" s="242"/>
      <c r="H4" s="348"/>
      <c r="I4" s="348"/>
      <c r="J4" s="348"/>
      <c r="K4" s="348"/>
      <c r="L4" s="348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2"/>
    </row>
    <row r="5" spans="2:458" ht="30" customHeight="1" x14ac:dyDescent="0.25">
      <c r="B5" s="3">
        <v>1</v>
      </c>
      <c r="C5" s="218" t="s">
        <v>2</v>
      </c>
      <c r="D5" s="218"/>
      <c r="E5" s="218"/>
      <c r="F5" s="218"/>
      <c r="G5" s="218"/>
      <c r="H5" s="16"/>
      <c r="I5" s="16"/>
      <c r="J5" s="16"/>
      <c r="K5" s="16"/>
      <c r="L5" s="16"/>
      <c r="M5" s="16"/>
      <c r="N5" s="23"/>
      <c r="O5" s="16"/>
      <c r="P5" s="16"/>
      <c r="Q5" s="17"/>
      <c r="R5" s="18"/>
      <c r="S5" s="18"/>
      <c r="T5" s="18"/>
      <c r="U5" s="17"/>
      <c r="V5" s="18"/>
      <c r="W5" s="18"/>
      <c r="X5" s="18"/>
      <c r="Y5" s="18"/>
      <c r="Z5" s="18"/>
      <c r="AA5" s="18"/>
      <c r="AB5" s="18"/>
      <c r="AC5" s="18"/>
      <c r="AD5" s="19"/>
      <c r="AE5" s="20"/>
      <c r="AF5" s="20"/>
      <c r="AG5" s="20"/>
      <c r="AH5" s="20"/>
      <c r="AI5" s="20"/>
      <c r="AJ5" s="20"/>
      <c r="AK5" s="20"/>
      <c r="AL5" s="20"/>
      <c r="AM5" s="19"/>
      <c r="AN5" s="20"/>
      <c r="AO5" s="23"/>
      <c r="AP5" s="53" t="s">
        <v>1766</v>
      </c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 t="s">
        <v>748</v>
      </c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3"/>
      <c r="EP5" s="52"/>
      <c r="EQ5" s="52"/>
      <c r="ER5" s="52"/>
      <c r="ES5" s="53"/>
      <c r="ET5" s="52"/>
      <c r="EU5" s="52"/>
      <c r="EV5" s="52"/>
      <c r="EW5" s="52"/>
      <c r="EX5" s="52"/>
      <c r="EY5" s="52"/>
      <c r="EZ5" s="52"/>
      <c r="FA5" s="53"/>
      <c r="FB5" s="52"/>
      <c r="FC5" s="53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3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3" t="s">
        <v>749</v>
      </c>
      <c r="KP5" s="53"/>
      <c r="KQ5" s="53"/>
      <c r="KR5" s="53"/>
      <c r="KS5" s="53"/>
      <c r="KT5" s="53"/>
      <c r="KU5" s="53"/>
      <c r="KV5" s="53" t="s">
        <v>598</v>
      </c>
      <c r="KW5" s="53"/>
      <c r="KX5" s="53"/>
      <c r="KY5" s="53"/>
      <c r="KZ5" s="53"/>
      <c r="LA5" s="53"/>
      <c r="LB5" s="53"/>
      <c r="LC5" s="53"/>
      <c r="LD5" s="53"/>
      <c r="LE5" s="53"/>
      <c r="LF5" s="53"/>
      <c r="LG5" s="53"/>
      <c r="LH5" s="53"/>
      <c r="LI5" s="53" t="s">
        <v>1735</v>
      </c>
      <c r="LJ5" s="53"/>
      <c r="LK5" s="53"/>
      <c r="LL5" s="53"/>
      <c r="LM5" s="53"/>
      <c r="LN5" s="53"/>
      <c r="LO5" s="53" t="s">
        <v>1736</v>
      </c>
      <c r="LP5" s="53"/>
      <c r="LQ5" s="53"/>
      <c r="LR5" s="53"/>
      <c r="LS5" s="53"/>
      <c r="LT5" s="53"/>
      <c r="LU5" s="53"/>
      <c r="LV5" s="53"/>
      <c r="LW5" s="53"/>
      <c r="LX5" s="53"/>
      <c r="LY5" s="53"/>
      <c r="LZ5" s="53"/>
      <c r="MA5" s="53"/>
      <c r="MB5" s="53"/>
      <c r="MC5" s="53" t="s">
        <v>1744</v>
      </c>
      <c r="MD5" s="53"/>
      <c r="ME5" s="53"/>
      <c r="MF5" s="53"/>
      <c r="MG5" s="53"/>
      <c r="MH5" s="53" t="s">
        <v>1745</v>
      </c>
      <c r="MI5" s="53"/>
      <c r="MJ5" s="53"/>
      <c r="MK5" s="53"/>
      <c r="ML5" s="53"/>
      <c r="MM5" s="53"/>
      <c r="MN5" s="53"/>
      <c r="MO5" s="53"/>
      <c r="MP5" s="53"/>
      <c r="MQ5" s="53"/>
      <c r="MR5" s="53"/>
      <c r="MS5" s="53"/>
      <c r="MT5" s="53"/>
      <c r="MU5" s="53"/>
      <c r="MV5" s="53"/>
      <c r="MW5" s="53"/>
      <c r="MX5" s="53"/>
      <c r="MY5" s="53"/>
      <c r="MZ5" s="53"/>
      <c r="NA5" s="53"/>
      <c r="NB5" s="53"/>
      <c r="NC5" s="53"/>
      <c r="ND5" s="53"/>
      <c r="NE5" s="53"/>
      <c r="NF5" s="53"/>
      <c r="NG5" s="53"/>
      <c r="NH5" s="53"/>
      <c r="NI5" s="53"/>
      <c r="NJ5" s="53"/>
      <c r="NK5" s="53"/>
      <c r="NL5" s="53"/>
      <c r="NM5" s="53"/>
      <c r="NN5" s="53"/>
      <c r="NO5" s="53"/>
      <c r="NP5" s="53"/>
      <c r="NQ5" s="53"/>
      <c r="NR5" s="53"/>
      <c r="NS5" s="53"/>
      <c r="NT5" s="53"/>
      <c r="NU5" s="53"/>
      <c r="NV5" s="53"/>
      <c r="NW5" s="53"/>
      <c r="NX5" s="53"/>
      <c r="NY5" s="53"/>
      <c r="NZ5" s="53"/>
      <c r="OA5" s="53"/>
      <c r="OB5" s="53"/>
      <c r="OC5" s="53"/>
      <c r="OD5" s="53"/>
      <c r="OE5" s="53"/>
      <c r="OF5" s="53"/>
      <c r="OG5" s="53"/>
      <c r="OH5" s="53"/>
      <c r="OI5" s="53"/>
      <c r="OJ5" s="53"/>
      <c r="OK5" s="53"/>
      <c r="OL5" s="53"/>
      <c r="OM5" s="53"/>
      <c r="ON5" s="53"/>
      <c r="OO5" s="53"/>
      <c r="OP5" s="53"/>
      <c r="OQ5" s="53"/>
      <c r="OR5" s="53"/>
      <c r="OS5" s="53"/>
      <c r="OT5" s="53"/>
      <c r="OU5" s="53"/>
      <c r="OV5" s="53"/>
      <c r="OW5" s="53"/>
      <c r="OX5" s="53"/>
      <c r="OY5" s="53"/>
      <c r="OZ5" s="53"/>
      <c r="PA5" s="53"/>
      <c r="PB5" s="53"/>
      <c r="PC5" s="53"/>
      <c r="PD5" s="53"/>
      <c r="PE5" s="53"/>
      <c r="PF5" s="53"/>
      <c r="PG5" s="53"/>
      <c r="PH5" s="53"/>
      <c r="PI5" s="53"/>
      <c r="PJ5" s="53"/>
      <c r="PK5" s="53"/>
      <c r="PL5" s="53"/>
      <c r="PM5" s="53"/>
      <c r="PN5" s="53"/>
      <c r="PO5" s="53"/>
      <c r="PP5" s="53"/>
      <c r="PQ5" s="53"/>
      <c r="PR5" s="53"/>
      <c r="PS5" s="53"/>
      <c r="PT5" s="53"/>
      <c r="PU5" s="53"/>
      <c r="PV5" s="53"/>
      <c r="PW5" s="53"/>
      <c r="PX5" s="53"/>
      <c r="PY5" s="53"/>
      <c r="PZ5" s="53"/>
      <c r="QA5" s="53"/>
      <c r="QB5" s="53"/>
      <c r="QC5" s="53"/>
      <c r="QD5" s="53"/>
      <c r="QE5" s="53"/>
      <c r="QF5" s="53"/>
      <c r="QG5" s="53"/>
      <c r="QH5" s="53"/>
      <c r="QI5" s="53"/>
      <c r="QJ5" s="53"/>
      <c r="QK5" s="53"/>
      <c r="QL5" s="53"/>
      <c r="QM5" s="53"/>
      <c r="QN5" s="53"/>
      <c r="QO5" s="53"/>
      <c r="QP5" s="53"/>
    </row>
    <row r="6" spans="2:458" ht="30" customHeight="1" x14ac:dyDescent="0.25">
      <c r="B6" s="3">
        <v>2</v>
      </c>
      <c r="C6" s="218" t="s">
        <v>3</v>
      </c>
      <c r="D6" s="218"/>
      <c r="E6" s="218"/>
      <c r="F6" s="218"/>
      <c r="G6" s="218"/>
      <c r="H6" s="15"/>
      <c r="I6" s="15"/>
      <c r="J6" s="15"/>
      <c r="K6" s="15"/>
      <c r="L6" s="15"/>
      <c r="M6" s="15"/>
      <c r="N6" s="15"/>
      <c r="O6" s="15"/>
      <c r="P6" s="15"/>
      <c r="Q6" s="17"/>
      <c r="R6" s="18"/>
      <c r="S6" s="18"/>
      <c r="T6" s="18"/>
      <c r="U6" s="17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35" t="s">
        <v>750</v>
      </c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 t="s">
        <v>751</v>
      </c>
      <c r="DH6" s="19"/>
      <c r="DI6" s="19"/>
      <c r="DJ6" s="19"/>
      <c r="DK6" s="19"/>
      <c r="DL6" s="19"/>
      <c r="DM6" s="19"/>
      <c r="DN6" s="35" t="s">
        <v>752</v>
      </c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4"/>
      <c r="EY6" s="55"/>
      <c r="EZ6" s="55"/>
      <c r="FA6" s="54"/>
      <c r="FB6" s="55"/>
      <c r="FC6" s="54"/>
      <c r="FD6" s="55"/>
      <c r="FE6" s="55"/>
      <c r="FF6" s="55"/>
      <c r="FG6" s="55"/>
      <c r="FH6" s="55"/>
      <c r="FI6" s="55"/>
      <c r="FJ6" s="55"/>
      <c r="FK6" s="55"/>
      <c r="FL6" s="55"/>
      <c r="FM6" s="55"/>
      <c r="FN6" s="54"/>
      <c r="FO6" s="55"/>
      <c r="FP6" s="55"/>
      <c r="FQ6" s="55"/>
      <c r="FR6" s="55"/>
      <c r="FS6" s="55"/>
      <c r="FT6" s="54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5"/>
      <c r="IL6" s="55"/>
      <c r="IM6" s="55"/>
      <c r="IN6" s="55"/>
      <c r="IO6" s="55"/>
      <c r="IP6" s="55"/>
      <c r="IQ6" s="55"/>
      <c r="IR6" s="55"/>
      <c r="IS6" s="55"/>
      <c r="IT6" s="55"/>
      <c r="IU6" s="55"/>
      <c r="IV6" s="55"/>
      <c r="IW6" s="55"/>
      <c r="IX6" s="55"/>
      <c r="IY6" s="55"/>
      <c r="IZ6" s="55"/>
      <c r="JA6" s="54" t="s">
        <v>552</v>
      </c>
      <c r="JB6" s="54"/>
      <c r="JC6" s="54"/>
      <c r="JD6" s="54"/>
      <c r="JE6" s="54"/>
      <c r="JF6" s="54" t="s">
        <v>1694</v>
      </c>
      <c r="JG6" s="54"/>
      <c r="JH6" s="54"/>
      <c r="JI6" s="54" t="s">
        <v>1702</v>
      </c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 t="s">
        <v>573</v>
      </c>
      <c r="JX6" s="54"/>
      <c r="JY6" s="54"/>
      <c r="JZ6" s="54"/>
      <c r="KA6" s="54" t="s">
        <v>577</v>
      </c>
      <c r="KB6" s="54"/>
      <c r="KC6" s="54"/>
      <c r="KD6" s="54" t="s">
        <v>580</v>
      </c>
      <c r="KE6" s="54"/>
      <c r="KF6" s="54"/>
      <c r="KG6" s="54" t="s">
        <v>583</v>
      </c>
      <c r="KH6" s="54"/>
      <c r="KI6" s="54"/>
      <c r="KJ6" s="54"/>
      <c r="KK6" s="54"/>
      <c r="KL6" s="54"/>
      <c r="KM6" s="54" t="s">
        <v>589</v>
      </c>
      <c r="KN6" s="54"/>
      <c r="KO6" s="54"/>
      <c r="KP6" s="54"/>
      <c r="KQ6" s="54"/>
      <c r="KR6" s="54"/>
      <c r="KS6" s="54" t="s">
        <v>1706</v>
      </c>
      <c r="KT6" s="54"/>
      <c r="KU6" s="54" t="s">
        <v>1712</v>
      </c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4"/>
      <c r="LO6" s="54"/>
      <c r="LP6" s="54"/>
      <c r="LQ6" s="54"/>
      <c r="LR6" s="54" t="s">
        <v>1746</v>
      </c>
      <c r="LS6" s="54"/>
      <c r="LT6" s="54"/>
      <c r="LU6" s="54"/>
      <c r="LV6" s="54"/>
      <c r="LW6" s="54"/>
      <c r="LX6" s="54"/>
      <c r="LY6" s="54"/>
      <c r="LZ6" s="54" t="s">
        <v>1760</v>
      </c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</row>
    <row r="7" spans="2:458" ht="30" customHeight="1" x14ac:dyDescent="0.25">
      <c r="B7" s="3">
        <v>3</v>
      </c>
      <c r="C7" s="218" t="s">
        <v>4</v>
      </c>
      <c r="D7" s="218"/>
      <c r="E7" s="218"/>
      <c r="F7" s="218"/>
      <c r="G7" s="218"/>
      <c r="H7" s="15"/>
      <c r="I7" s="15"/>
      <c r="J7" s="15"/>
      <c r="K7" s="15"/>
      <c r="L7" s="15"/>
      <c r="M7" s="15"/>
      <c r="N7" s="15"/>
      <c r="O7" s="15"/>
      <c r="P7" s="15"/>
      <c r="Q7" s="17"/>
      <c r="R7" s="18"/>
      <c r="S7" s="18"/>
      <c r="T7" s="18"/>
      <c r="U7" s="17"/>
      <c r="V7" s="18"/>
      <c r="W7" s="18"/>
      <c r="X7" s="18"/>
      <c r="Y7" s="18"/>
      <c r="Z7" s="18"/>
      <c r="AA7" s="18"/>
      <c r="AB7" s="18"/>
      <c r="AC7" s="18"/>
      <c r="AD7" s="19"/>
      <c r="AE7" s="19"/>
      <c r="AF7" s="19"/>
      <c r="AG7" s="19"/>
      <c r="AH7" s="19"/>
      <c r="AI7" s="20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56" t="s">
        <v>753</v>
      </c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6" t="s">
        <v>401</v>
      </c>
      <c r="DH7" s="19"/>
      <c r="DI7" s="19"/>
      <c r="DJ7" s="19"/>
      <c r="DK7" s="19"/>
      <c r="DL7" s="19"/>
      <c r="DM7" s="19"/>
      <c r="DN7" s="56" t="s">
        <v>754</v>
      </c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6" t="s">
        <v>755</v>
      </c>
      <c r="EW7" s="56"/>
      <c r="EX7" s="56"/>
      <c r="EY7" s="56"/>
      <c r="EZ7" s="56"/>
      <c r="FA7" s="56"/>
      <c r="FB7" s="56" t="s">
        <v>448</v>
      </c>
      <c r="FC7" s="56"/>
      <c r="FD7" s="56"/>
      <c r="FE7" s="56"/>
      <c r="FF7" s="56"/>
      <c r="FG7" s="56"/>
      <c r="FH7" s="56"/>
      <c r="FI7" s="56"/>
      <c r="FJ7" s="56" t="s">
        <v>456</v>
      </c>
      <c r="FK7" s="56"/>
      <c r="FL7" s="56"/>
      <c r="FM7" s="56"/>
      <c r="FN7" s="56"/>
      <c r="FO7" s="56"/>
      <c r="FP7" s="56"/>
      <c r="FQ7" s="56"/>
      <c r="FR7" s="56"/>
      <c r="FS7" s="56"/>
      <c r="FT7" s="56"/>
      <c r="FU7" s="56"/>
      <c r="FV7" s="56"/>
      <c r="FW7" s="56"/>
      <c r="FX7" s="56" t="s">
        <v>1707</v>
      </c>
      <c r="FY7" s="56"/>
      <c r="FZ7" s="56"/>
      <c r="GA7" s="56"/>
      <c r="GB7" s="56"/>
      <c r="GC7" s="56"/>
      <c r="GD7" s="56"/>
      <c r="GE7" s="56" t="s">
        <v>1710</v>
      </c>
      <c r="GF7" s="56"/>
      <c r="GG7" s="56"/>
      <c r="GH7" s="56"/>
      <c r="GI7" s="56" t="s">
        <v>1711</v>
      </c>
      <c r="GJ7" s="56"/>
      <c r="GK7" s="56"/>
      <c r="GL7" s="56"/>
      <c r="GM7" s="56"/>
      <c r="GN7" s="56"/>
      <c r="GO7" s="56"/>
      <c r="GP7" s="56"/>
      <c r="GQ7" s="56"/>
      <c r="GR7" s="56"/>
      <c r="GS7" s="56"/>
      <c r="GT7" s="56"/>
      <c r="GU7" s="56"/>
      <c r="GV7" s="56"/>
      <c r="GW7" s="56"/>
      <c r="GX7" s="56"/>
      <c r="GY7" s="56"/>
      <c r="GZ7" s="56"/>
      <c r="HA7" s="56"/>
      <c r="HB7" s="56"/>
      <c r="HC7" s="56"/>
      <c r="HD7" s="56"/>
      <c r="HE7" s="56"/>
      <c r="HF7" s="56"/>
      <c r="HG7" s="56"/>
      <c r="HH7" s="56"/>
      <c r="HI7" s="56"/>
      <c r="HJ7" s="56"/>
      <c r="HK7" s="56"/>
      <c r="HL7" s="56"/>
      <c r="HM7" s="56"/>
      <c r="HN7" s="56"/>
      <c r="HO7" s="56"/>
      <c r="HP7" s="56"/>
      <c r="HQ7" s="56"/>
      <c r="HR7" s="56" t="s">
        <v>1715</v>
      </c>
      <c r="HS7" s="56"/>
      <c r="HT7" s="56"/>
      <c r="HU7" s="56"/>
      <c r="HV7" s="56"/>
      <c r="HW7" s="56"/>
      <c r="HX7" s="56"/>
      <c r="HY7" s="56" t="s">
        <v>1718</v>
      </c>
      <c r="HZ7" s="56"/>
      <c r="IA7" s="56"/>
      <c r="IB7" s="56"/>
      <c r="IC7" s="56"/>
      <c r="ID7" s="56"/>
      <c r="IE7" s="56"/>
      <c r="IF7" s="56"/>
      <c r="IG7" s="56"/>
      <c r="IH7" s="56"/>
      <c r="II7" s="56" t="s">
        <v>1719</v>
      </c>
      <c r="IJ7" s="56"/>
      <c r="IK7" s="56"/>
      <c r="IL7" s="56"/>
      <c r="IM7" s="56"/>
      <c r="IN7" s="56"/>
      <c r="IO7" s="56"/>
      <c r="IP7" s="56"/>
      <c r="IQ7" s="56"/>
      <c r="IR7" s="56" t="s">
        <v>542</v>
      </c>
      <c r="IS7" s="56"/>
      <c r="IT7" s="56"/>
      <c r="IU7" s="56"/>
      <c r="IV7" s="56"/>
      <c r="IW7" s="56"/>
      <c r="IX7" s="56"/>
      <c r="IY7" s="56"/>
      <c r="IZ7" s="56"/>
      <c r="JA7" s="56"/>
      <c r="JB7" s="56"/>
      <c r="JC7" s="56"/>
      <c r="JD7" s="56"/>
      <c r="JE7" s="56"/>
      <c r="JF7" s="56"/>
      <c r="JG7" s="56"/>
      <c r="JH7" s="56" t="s">
        <v>1721</v>
      </c>
      <c r="JI7" s="56"/>
      <c r="JJ7" s="56"/>
      <c r="JK7" s="56"/>
      <c r="JL7" s="56"/>
      <c r="JM7" s="56"/>
      <c r="JN7" s="56"/>
      <c r="JO7" s="56"/>
      <c r="JP7" s="56"/>
      <c r="JQ7" s="56"/>
      <c r="JR7" s="56"/>
      <c r="JS7" s="56"/>
      <c r="JT7" s="56"/>
      <c r="JU7" s="56"/>
      <c r="JV7" s="56"/>
      <c r="JW7" s="56"/>
      <c r="JX7" s="56"/>
      <c r="JY7" s="56"/>
      <c r="JZ7" s="56"/>
      <c r="KA7" s="56"/>
      <c r="KB7" s="56"/>
      <c r="KC7" s="56" t="s">
        <v>1724</v>
      </c>
      <c r="KD7" s="56"/>
      <c r="KE7" s="56"/>
      <c r="KF7" s="56"/>
      <c r="KG7" s="56"/>
      <c r="KH7" s="56"/>
      <c r="KI7" s="56"/>
      <c r="KJ7" s="56"/>
      <c r="KK7" s="56"/>
      <c r="KL7" s="56"/>
      <c r="KM7" s="56"/>
      <c r="KN7" s="56" t="s">
        <v>1727</v>
      </c>
      <c r="KO7" s="56"/>
      <c r="KP7" s="56"/>
      <c r="KQ7" s="56"/>
      <c r="KR7" s="56"/>
      <c r="KS7" s="56"/>
      <c r="KT7" s="56"/>
      <c r="KU7" s="56" t="s">
        <v>1737</v>
      </c>
      <c r="KV7" s="56"/>
      <c r="KW7" s="56"/>
      <c r="KX7" s="56"/>
      <c r="KY7" s="56"/>
      <c r="KZ7" s="56"/>
      <c r="LA7" s="56"/>
      <c r="LB7" s="56"/>
      <c r="LC7" s="56"/>
      <c r="LD7" s="56"/>
      <c r="LE7" s="56"/>
      <c r="LF7" s="56"/>
      <c r="LG7" s="56"/>
      <c r="LH7" s="56"/>
      <c r="LI7" s="56"/>
      <c r="LJ7" s="56"/>
      <c r="LK7" s="56"/>
      <c r="LL7" s="56"/>
      <c r="LM7" s="56"/>
      <c r="LN7" s="56"/>
      <c r="LO7" s="56"/>
      <c r="LP7" s="56"/>
      <c r="LQ7" s="56"/>
      <c r="LR7" s="56"/>
      <c r="LS7" s="56"/>
      <c r="LT7" s="56"/>
      <c r="LU7" s="56"/>
      <c r="LV7" s="56"/>
      <c r="LW7" s="56"/>
      <c r="LX7" s="56"/>
      <c r="LY7" s="56"/>
      <c r="LZ7" s="56"/>
      <c r="MA7" s="56"/>
      <c r="MB7" s="56"/>
      <c r="MC7" s="56"/>
      <c r="MD7" s="56"/>
      <c r="ME7" s="56"/>
      <c r="MF7" s="56"/>
      <c r="MG7" s="56"/>
      <c r="MH7" s="56"/>
      <c r="MI7" s="56"/>
      <c r="MJ7" s="56"/>
      <c r="MK7" s="63" t="s">
        <v>1767</v>
      </c>
      <c r="ML7" s="63"/>
      <c r="MM7" s="63"/>
      <c r="MN7" s="63"/>
      <c r="MO7" s="63"/>
      <c r="MP7" s="63"/>
      <c r="MQ7" s="63"/>
      <c r="MR7" s="63"/>
      <c r="MS7" s="63"/>
      <c r="MT7" s="63"/>
      <c r="MU7" s="63"/>
      <c r="MV7" s="63"/>
      <c r="MW7" s="63"/>
      <c r="MX7" s="63"/>
      <c r="MY7" s="63" t="s">
        <v>1768</v>
      </c>
      <c r="MZ7" s="56"/>
      <c r="NA7" s="56"/>
      <c r="NB7" s="56"/>
      <c r="NC7" s="56"/>
      <c r="ND7" s="56"/>
      <c r="NE7" s="56"/>
      <c r="NF7" s="56"/>
      <c r="NG7" s="56"/>
      <c r="NH7" s="56"/>
      <c r="NI7" s="56"/>
      <c r="NJ7" s="56"/>
      <c r="NK7" s="56"/>
      <c r="NL7" s="56"/>
      <c r="NM7" s="56"/>
      <c r="NN7" s="56"/>
      <c r="NO7" s="56"/>
      <c r="NP7" s="56"/>
      <c r="NQ7" s="56"/>
      <c r="NR7" s="56"/>
      <c r="NS7" s="56"/>
      <c r="NT7" s="56"/>
      <c r="NU7" s="56"/>
      <c r="NV7" s="56"/>
      <c r="NW7" s="56"/>
      <c r="NX7" s="56"/>
      <c r="NY7" s="56"/>
      <c r="NZ7" s="56"/>
      <c r="OA7" s="56"/>
      <c r="OB7" s="56"/>
      <c r="OC7" s="56"/>
      <c r="OD7" s="56"/>
      <c r="OE7" s="56"/>
      <c r="OF7" s="56"/>
      <c r="OG7" s="56"/>
      <c r="OH7" s="56"/>
      <c r="OI7" s="56"/>
      <c r="OJ7" s="56"/>
      <c r="OK7" s="56"/>
      <c r="OL7" s="56"/>
      <c r="OM7" s="56"/>
      <c r="ON7" s="56"/>
      <c r="OO7" s="56"/>
      <c r="OP7" s="56"/>
      <c r="OQ7" s="56"/>
      <c r="OR7" s="56"/>
      <c r="OS7" s="56"/>
      <c r="OT7" s="56"/>
      <c r="OU7" s="56"/>
      <c r="OV7" s="56"/>
      <c r="OW7" s="56"/>
      <c r="OX7" s="56"/>
      <c r="OY7" s="56"/>
      <c r="OZ7" s="56"/>
      <c r="PA7" s="56"/>
      <c r="PB7" s="56"/>
      <c r="PC7" s="56"/>
      <c r="PD7" s="56"/>
      <c r="PE7" s="56"/>
      <c r="PF7" s="56"/>
      <c r="PG7" s="56"/>
      <c r="PH7" s="56"/>
      <c r="PI7" s="56"/>
      <c r="PJ7" s="56"/>
      <c r="PK7" s="56"/>
      <c r="PL7" s="56"/>
      <c r="PM7" s="56"/>
      <c r="PN7" s="56"/>
      <c r="PO7" s="56"/>
      <c r="PP7" s="56"/>
      <c r="PQ7" s="56"/>
      <c r="PR7" s="56"/>
      <c r="PS7" s="56"/>
      <c r="PT7" s="56"/>
      <c r="PU7" s="56"/>
      <c r="PV7" s="56"/>
      <c r="PW7" s="56"/>
      <c r="PX7" s="56"/>
      <c r="PY7" s="56"/>
      <c r="PZ7" s="19"/>
      <c r="QA7" s="19"/>
      <c r="QB7" s="19"/>
      <c r="QC7" s="19"/>
      <c r="QD7" s="19"/>
      <c r="QE7" s="19"/>
      <c r="QF7" s="19"/>
      <c r="QG7" s="19"/>
      <c r="QH7" s="19"/>
      <c r="QI7" s="19"/>
      <c r="QJ7" s="19"/>
      <c r="QK7" s="19"/>
      <c r="QL7" s="19"/>
      <c r="QM7" s="19"/>
      <c r="QN7" s="19"/>
      <c r="QO7" s="19"/>
      <c r="QP7" s="19"/>
    </row>
    <row r="8" spans="2:458" ht="15.95" customHeight="1" x14ac:dyDescent="0.25">
      <c r="B8" s="3"/>
      <c r="C8" s="241" t="s">
        <v>6</v>
      </c>
      <c r="D8" s="242"/>
      <c r="E8" s="242"/>
      <c r="F8" s="242"/>
      <c r="G8" s="242"/>
      <c r="H8" s="348"/>
      <c r="I8" s="348"/>
      <c r="J8" s="348"/>
      <c r="K8" s="348"/>
      <c r="L8" s="348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2"/>
      <c r="AI8" s="1"/>
    </row>
    <row r="9" spans="2:458" ht="30" customHeight="1" x14ac:dyDescent="0.25">
      <c r="B9" s="3">
        <v>1</v>
      </c>
      <c r="C9" s="218" t="s">
        <v>8</v>
      </c>
      <c r="D9" s="218"/>
      <c r="E9" s="218"/>
      <c r="F9" s="218"/>
      <c r="G9" s="218"/>
      <c r="H9" s="15"/>
      <c r="I9" s="15"/>
      <c r="J9" s="15"/>
      <c r="K9" s="15"/>
      <c r="L9" s="15"/>
      <c r="M9" s="15"/>
      <c r="N9" s="15"/>
      <c r="O9" s="15"/>
      <c r="P9" s="15"/>
      <c r="Q9" s="17"/>
      <c r="R9" s="18"/>
      <c r="S9" s="18"/>
      <c r="T9" s="18"/>
      <c r="U9" s="17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43" t="s">
        <v>750</v>
      </c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 t="s">
        <v>751</v>
      </c>
      <c r="DH9" s="19"/>
      <c r="DI9" s="19"/>
      <c r="DJ9" s="19"/>
      <c r="DK9" s="19"/>
      <c r="DL9" s="19"/>
      <c r="DM9" s="19"/>
      <c r="DN9" s="43" t="s">
        <v>752</v>
      </c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3"/>
      <c r="EQ9" s="43"/>
      <c r="ER9" s="43"/>
      <c r="ES9" s="43"/>
      <c r="ET9" s="43"/>
      <c r="EU9" s="43"/>
      <c r="EV9" s="43"/>
      <c r="EW9" s="43"/>
      <c r="EX9" s="43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  <c r="IU9" s="43"/>
      <c r="IV9" s="43"/>
      <c r="IW9" s="43"/>
      <c r="IX9" s="43"/>
      <c r="IY9" s="43"/>
      <c r="IZ9" s="43"/>
      <c r="JA9" s="43" t="s">
        <v>552</v>
      </c>
      <c r="JB9" s="43"/>
      <c r="JC9" s="43"/>
      <c r="JD9" s="43"/>
      <c r="JE9" s="43"/>
      <c r="JF9" s="43" t="s">
        <v>1683</v>
      </c>
      <c r="JG9" s="43"/>
      <c r="JH9" s="43"/>
      <c r="JI9" s="43" t="s">
        <v>1701</v>
      </c>
      <c r="JJ9" s="43"/>
      <c r="JK9" s="43"/>
      <c r="JL9" s="43"/>
      <c r="JM9" s="43"/>
      <c r="JN9" s="43"/>
      <c r="JO9" s="43"/>
      <c r="JP9" s="43" t="s">
        <v>1704</v>
      </c>
      <c r="JQ9" s="43"/>
      <c r="JR9" s="43"/>
      <c r="JS9" s="43"/>
      <c r="JT9" s="43"/>
      <c r="JU9" s="43"/>
      <c r="JV9" s="43"/>
      <c r="JW9" s="43" t="s">
        <v>573</v>
      </c>
      <c r="JX9" s="43"/>
      <c r="JY9" s="43"/>
      <c r="JZ9" s="43"/>
      <c r="KA9" s="43" t="s">
        <v>577</v>
      </c>
      <c r="KB9" s="43"/>
      <c r="KC9" s="43"/>
      <c r="KD9" s="43" t="s">
        <v>580</v>
      </c>
      <c r="KE9" s="43"/>
      <c r="KF9" s="43"/>
      <c r="KG9" s="43" t="s">
        <v>583</v>
      </c>
      <c r="KH9" s="43"/>
      <c r="KI9" s="43"/>
      <c r="KJ9" s="43"/>
      <c r="KK9" s="43"/>
      <c r="KL9" s="43"/>
      <c r="KM9" s="43" t="s">
        <v>589</v>
      </c>
      <c r="KN9" s="43"/>
      <c r="KO9" s="43"/>
      <c r="KP9" s="43"/>
      <c r="KQ9" s="43"/>
      <c r="KR9" s="43" t="s">
        <v>594</v>
      </c>
      <c r="KS9" s="43" t="s">
        <v>1706</v>
      </c>
      <c r="KT9" s="43"/>
      <c r="KU9" s="43"/>
      <c r="KV9" s="43" t="s">
        <v>598</v>
      </c>
      <c r="KW9" s="43"/>
      <c r="KX9" s="43"/>
      <c r="KY9" s="43"/>
      <c r="KZ9" s="43"/>
      <c r="LA9" s="43"/>
      <c r="LB9" s="43"/>
      <c r="LC9" s="43"/>
      <c r="LD9" s="43"/>
      <c r="LE9" s="43"/>
      <c r="LF9" s="43"/>
      <c r="LG9" s="43"/>
      <c r="LH9" s="43"/>
      <c r="LI9" s="43"/>
      <c r="LJ9" s="43"/>
      <c r="LK9" s="43"/>
      <c r="LL9" s="43"/>
      <c r="LM9" s="43"/>
      <c r="LN9" s="43"/>
      <c r="LO9" s="43"/>
      <c r="LP9" s="43"/>
      <c r="LQ9" s="43"/>
      <c r="LR9" s="43" t="s">
        <v>1750</v>
      </c>
      <c r="LS9" s="43"/>
      <c r="LT9" s="43"/>
      <c r="LU9" s="43"/>
      <c r="LV9" s="43" t="s">
        <v>1755</v>
      </c>
      <c r="LW9" s="43"/>
      <c r="LX9" s="43" t="s">
        <v>626</v>
      </c>
      <c r="LY9" s="43"/>
      <c r="LZ9" s="43"/>
      <c r="MA9" s="43"/>
      <c r="MB9" s="43"/>
      <c r="MC9" s="43"/>
      <c r="MD9" s="43"/>
      <c r="ME9" s="43" t="s">
        <v>633</v>
      </c>
      <c r="MF9" s="43"/>
      <c r="MG9" s="43"/>
      <c r="MH9" s="43"/>
      <c r="MI9" s="43"/>
      <c r="MJ9" s="43"/>
      <c r="MK9" s="43"/>
      <c r="ML9" s="43"/>
      <c r="MM9" s="43"/>
      <c r="MN9" s="43"/>
      <c r="MO9" s="43"/>
      <c r="MP9" s="43"/>
      <c r="MQ9" s="43"/>
      <c r="MR9" s="43"/>
      <c r="MS9" s="43"/>
      <c r="MT9" s="43"/>
      <c r="MU9" s="43"/>
      <c r="MV9" s="43"/>
      <c r="MW9" s="43"/>
      <c r="MX9" s="43"/>
      <c r="MY9" s="43"/>
      <c r="MZ9" s="43"/>
      <c r="NA9" s="43"/>
      <c r="NB9" s="43"/>
      <c r="NC9" s="43"/>
      <c r="ND9" s="43"/>
      <c r="NE9" s="43"/>
      <c r="NF9" s="43"/>
      <c r="NG9" s="43"/>
      <c r="NH9" s="43"/>
      <c r="NI9" s="43"/>
      <c r="NJ9" s="43"/>
      <c r="NK9" s="43"/>
      <c r="NL9" s="43"/>
      <c r="NM9" s="43"/>
      <c r="NN9" s="43"/>
      <c r="NO9" s="43"/>
      <c r="NP9" s="43"/>
      <c r="NQ9" s="43"/>
      <c r="NR9" s="43"/>
      <c r="NS9" s="43"/>
      <c r="NT9" s="43"/>
      <c r="NU9" s="43"/>
      <c r="NV9" s="43"/>
      <c r="NW9" s="43"/>
      <c r="NX9" s="43"/>
      <c r="NY9" s="43"/>
      <c r="NZ9" s="43"/>
      <c r="OA9" s="43"/>
      <c r="OB9" s="43"/>
      <c r="OC9" s="43"/>
      <c r="OD9" s="43"/>
      <c r="OE9" s="43"/>
      <c r="OF9" s="43"/>
      <c r="OG9" s="43"/>
      <c r="OH9" s="43"/>
      <c r="OI9" s="43"/>
      <c r="OJ9" s="43"/>
      <c r="OK9" s="43"/>
      <c r="OL9" s="43"/>
      <c r="OM9" s="43"/>
      <c r="ON9" s="43"/>
      <c r="OO9" s="43"/>
      <c r="OP9" s="43"/>
      <c r="OQ9" s="43"/>
      <c r="OR9" s="43"/>
      <c r="OS9" s="43"/>
      <c r="OT9" s="43"/>
      <c r="OU9" s="43"/>
      <c r="OV9" s="43"/>
      <c r="OW9" s="43"/>
      <c r="OX9" s="43"/>
      <c r="OY9" s="43"/>
      <c r="OZ9" s="43"/>
      <c r="PA9" s="43"/>
      <c r="PB9" s="43"/>
      <c r="PC9" s="43"/>
      <c r="PD9" s="43"/>
      <c r="PE9" s="43"/>
      <c r="PF9" s="43"/>
      <c r="PG9" s="43"/>
      <c r="PH9" s="43"/>
      <c r="PI9" s="43"/>
      <c r="PJ9" s="43"/>
      <c r="PK9" s="43"/>
      <c r="PL9" s="43"/>
      <c r="PM9" s="43"/>
      <c r="PN9" s="43"/>
      <c r="PO9" s="43"/>
      <c r="PP9" s="43"/>
      <c r="PQ9" s="43"/>
      <c r="PR9" s="43"/>
      <c r="PS9" s="43"/>
      <c r="PT9" s="43"/>
      <c r="PU9" s="43"/>
      <c r="PV9" s="43"/>
      <c r="PW9" s="43"/>
      <c r="PX9" s="43"/>
      <c r="PY9" s="43"/>
      <c r="PZ9" s="43"/>
      <c r="QA9" s="43"/>
      <c r="QB9" s="43"/>
      <c r="QC9" s="43"/>
      <c r="QD9" s="43"/>
      <c r="QE9" s="43"/>
      <c r="QF9" s="43"/>
      <c r="QG9" s="43"/>
      <c r="QH9" s="43"/>
      <c r="QI9" s="43"/>
      <c r="QJ9" s="43"/>
      <c r="QK9" s="43"/>
      <c r="QL9" s="43"/>
      <c r="QM9" s="43"/>
      <c r="QN9" s="43"/>
      <c r="QO9" s="43"/>
      <c r="QP9" s="43"/>
    </row>
    <row r="10" spans="2:458" ht="30" customHeight="1" x14ac:dyDescent="0.25">
      <c r="B10" s="3">
        <v>2</v>
      </c>
      <c r="C10" s="218" t="s">
        <v>9</v>
      </c>
      <c r="D10" s="218"/>
      <c r="E10" s="218"/>
      <c r="F10" s="218"/>
      <c r="G10" s="218"/>
      <c r="H10" s="15"/>
      <c r="I10" s="15"/>
      <c r="J10" s="15"/>
      <c r="K10" s="15"/>
      <c r="L10" s="15"/>
      <c r="M10" s="15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38" t="s">
        <v>1766</v>
      </c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 t="s">
        <v>750</v>
      </c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38"/>
      <c r="GW10" s="42"/>
      <c r="GX10" s="42"/>
      <c r="GY10" s="42"/>
      <c r="GZ10" s="42"/>
      <c r="HA10" s="42"/>
      <c r="HB10" s="42"/>
      <c r="HC10" s="42"/>
      <c r="HD10" s="42"/>
      <c r="HE10" s="42"/>
      <c r="HF10" s="38" t="s">
        <v>294</v>
      </c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2"/>
      <c r="NM10" s="42"/>
      <c r="NN10" s="42"/>
      <c r="NO10" s="42"/>
      <c r="NP10" s="42"/>
      <c r="NQ10" s="42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2"/>
      <c r="OF10" s="42"/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2"/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2"/>
      <c r="PP10" s="42"/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2"/>
      <c r="QI10" s="42"/>
      <c r="QJ10" s="42"/>
      <c r="QK10" s="42"/>
      <c r="QL10" s="42"/>
      <c r="QM10" s="42"/>
      <c r="QN10" s="42"/>
      <c r="QO10" s="42"/>
      <c r="QP10" s="42"/>
    </row>
    <row r="11" spans="2:458" ht="32.25" customHeight="1" x14ac:dyDescent="0.2">
      <c r="N11" s="36"/>
      <c r="EO11" s="36"/>
      <c r="EP11" s="37"/>
      <c r="EQ11" s="37"/>
      <c r="ER11" s="37"/>
      <c r="ES11" s="36"/>
      <c r="ET11" s="37"/>
      <c r="EU11" s="37"/>
      <c r="EV11" s="37"/>
      <c r="EW11" s="37"/>
      <c r="EX11" s="37"/>
      <c r="EY11" s="37"/>
      <c r="EZ11" s="37"/>
      <c r="FA11" s="36"/>
      <c r="FB11" s="37"/>
      <c r="FC11" s="36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6"/>
      <c r="GH11" s="37"/>
      <c r="GI11" s="37"/>
    </row>
    <row r="12" spans="2:458" ht="31.5" customHeight="1" x14ac:dyDescent="0.2">
      <c r="B12" s="47" t="s">
        <v>295</v>
      </c>
      <c r="C12" s="48"/>
      <c r="D12" s="48"/>
      <c r="E12" s="48"/>
      <c r="F12" s="48"/>
      <c r="G12" s="49"/>
      <c r="H12" s="23" t="s">
        <v>23</v>
      </c>
      <c r="I12" s="23" t="s">
        <v>25</v>
      </c>
      <c r="J12" s="23" t="s">
        <v>26</v>
      </c>
      <c r="K12" s="23" t="s">
        <v>27</v>
      </c>
      <c r="L12" s="23" t="s">
        <v>28</v>
      </c>
      <c r="M12" s="23" t="s">
        <v>24</v>
      </c>
      <c r="N12" s="23" t="s">
        <v>30</v>
      </c>
      <c r="O12" s="23" t="s">
        <v>31</v>
      </c>
      <c r="P12" s="23" t="s">
        <v>32</v>
      </c>
      <c r="Q12" s="23" t="s">
        <v>33</v>
      </c>
      <c r="R12" s="23" t="s">
        <v>34</v>
      </c>
      <c r="S12" s="23" t="s">
        <v>35</v>
      </c>
      <c r="T12" s="23" t="s">
        <v>36</v>
      </c>
      <c r="U12" s="23" t="s">
        <v>37</v>
      </c>
      <c r="V12" s="23" t="s">
        <v>38</v>
      </c>
      <c r="W12" s="23" t="s">
        <v>39</v>
      </c>
      <c r="X12" s="23" t="s">
        <v>40</v>
      </c>
      <c r="Y12" s="23" t="s">
        <v>41</v>
      </c>
      <c r="Z12" s="23" t="s">
        <v>42</v>
      </c>
      <c r="AA12" s="23" t="s">
        <v>43</v>
      </c>
      <c r="AB12" s="23" t="s">
        <v>318</v>
      </c>
      <c r="AC12" s="23" t="s">
        <v>44</v>
      </c>
      <c r="AD12" s="23" t="s">
        <v>45</v>
      </c>
      <c r="AE12" s="23" t="s">
        <v>46</v>
      </c>
      <c r="AF12" s="23" t="s">
        <v>47</v>
      </c>
      <c r="AG12" s="23" t="s">
        <v>48</v>
      </c>
      <c r="AH12" s="23" t="s">
        <v>49</v>
      </c>
      <c r="AI12" s="23" t="s">
        <v>50</v>
      </c>
      <c r="AJ12" s="23" t="s">
        <v>51</v>
      </c>
      <c r="AK12" s="23" t="s">
        <v>52</v>
      </c>
      <c r="AL12" s="23" t="s">
        <v>53</v>
      </c>
      <c r="AM12" s="23" t="s">
        <v>54</v>
      </c>
      <c r="AN12" s="23" t="s">
        <v>55</v>
      </c>
      <c r="AO12" s="23" t="s">
        <v>56</v>
      </c>
      <c r="AP12" s="23" t="s">
        <v>57</v>
      </c>
      <c r="AQ12" s="23" t="s">
        <v>58</v>
      </c>
      <c r="AR12" s="23" t="s">
        <v>59</v>
      </c>
      <c r="AS12" s="23" t="s">
        <v>60</v>
      </c>
      <c r="AT12" s="23" t="s">
        <v>61</v>
      </c>
      <c r="AU12" s="23" t="s">
        <v>62</v>
      </c>
      <c r="AV12" s="23" t="s">
        <v>63</v>
      </c>
      <c r="AW12" s="23" t="s">
        <v>64</v>
      </c>
      <c r="AX12" s="23" t="s">
        <v>65</v>
      </c>
      <c r="AY12" s="23" t="s">
        <v>66</v>
      </c>
      <c r="AZ12" s="23" t="s">
        <v>67</v>
      </c>
      <c r="BA12" s="23" t="s">
        <v>68</v>
      </c>
      <c r="BB12" s="23" t="s">
        <v>69</v>
      </c>
      <c r="BC12" s="23" t="s">
        <v>70</v>
      </c>
      <c r="BD12" s="23" t="s">
        <v>71</v>
      </c>
      <c r="BE12" s="23" t="s">
        <v>72</v>
      </c>
      <c r="BF12" s="23" t="s">
        <v>73</v>
      </c>
      <c r="BG12" s="23" t="s">
        <v>74</v>
      </c>
      <c r="BH12" s="23" t="s">
        <v>75</v>
      </c>
      <c r="BI12" s="23" t="s">
        <v>76</v>
      </c>
      <c r="BJ12" s="23" t="s">
        <v>77</v>
      </c>
      <c r="BK12" s="23" t="s">
        <v>78</v>
      </c>
      <c r="BL12" s="23" t="s">
        <v>79</v>
      </c>
      <c r="BM12" s="23" t="s">
        <v>80</v>
      </c>
      <c r="BN12" s="23" t="s">
        <v>81</v>
      </c>
      <c r="BO12" s="23" t="s">
        <v>82</v>
      </c>
      <c r="BP12" s="23" t="s">
        <v>83</v>
      </c>
      <c r="BQ12" s="23" t="s">
        <v>84</v>
      </c>
      <c r="BR12" s="23" t="s">
        <v>85</v>
      </c>
      <c r="BS12" s="23" t="s">
        <v>86</v>
      </c>
      <c r="BT12" s="23" t="s">
        <v>87</v>
      </c>
      <c r="BU12" s="23" t="s">
        <v>88</v>
      </c>
      <c r="BV12" s="23" t="s">
        <v>89</v>
      </c>
      <c r="BW12" s="23" t="s">
        <v>90</v>
      </c>
      <c r="BX12" s="23" t="s">
        <v>91</v>
      </c>
      <c r="BY12" s="23" t="s">
        <v>92</v>
      </c>
      <c r="BZ12" s="23" t="s">
        <v>93</v>
      </c>
      <c r="CA12" s="23" t="s">
        <v>94</v>
      </c>
      <c r="CB12" s="23" t="s">
        <v>95</v>
      </c>
      <c r="CC12" s="23" t="s">
        <v>96</v>
      </c>
      <c r="CD12" s="23" t="s">
        <v>97</v>
      </c>
      <c r="CE12" s="23" t="s">
        <v>98</v>
      </c>
      <c r="CF12" s="23" t="s">
        <v>99</v>
      </c>
      <c r="CG12" s="23" t="s">
        <v>100</v>
      </c>
      <c r="CH12" s="23" t="s">
        <v>101</v>
      </c>
      <c r="CI12" s="23" t="s">
        <v>102</v>
      </c>
      <c r="CJ12" s="23" t="s">
        <v>103</v>
      </c>
      <c r="CK12" s="23" t="s">
        <v>104</v>
      </c>
      <c r="CL12" s="23" t="s">
        <v>105</v>
      </c>
      <c r="CM12" s="23" t="s">
        <v>106</v>
      </c>
      <c r="CN12" s="23" t="s">
        <v>107</v>
      </c>
      <c r="CO12" s="23" t="s">
        <v>108</v>
      </c>
      <c r="CP12" s="23" t="s">
        <v>109</v>
      </c>
      <c r="CQ12" s="23" t="s">
        <v>110</v>
      </c>
      <c r="CR12" s="23" t="s">
        <v>111</v>
      </c>
      <c r="CS12" s="23" t="s">
        <v>112</v>
      </c>
      <c r="CT12" s="23" t="s">
        <v>113</v>
      </c>
      <c r="CU12" s="23" t="s">
        <v>114</v>
      </c>
      <c r="CV12" s="23" t="s">
        <v>115</v>
      </c>
      <c r="CW12" s="23" t="s">
        <v>116</v>
      </c>
      <c r="CX12" s="23" t="s">
        <v>117</v>
      </c>
      <c r="CY12" s="23" t="s">
        <v>118</v>
      </c>
      <c r="CZ12" s="23" t="s">
        <v>119</v>
      </c>
      <c r="DA12" s="23" t="s">
        <v>120</v>
      </c>
      <c r="DB12" s="23" t="s">
        <v>121</v>
      </c>
      <c r="DC12" s="23" t="s">
        <v>122</v>
      </c>
      <c r="DD12" s="23" t="s">
        <v>123</v>
      </c>
      <c r="DE12" s="23" t="s">
        <v>124</v>
      </c>
      <c r="DF12" s="23" t="s">
        <v>125</v>
      </c>
      <c r="DG12" s="23" t="s">
        <v>126</v>
      </c>
      <c r="DH12" s="23" t="s">
        <v>127</v>
      </c>
      <c r="DI12" s="23" t="s">
        <v>128</v>
      </c>
      <c r="DJ12" s="23" t="s">
        <v>129</v>
      </c>
      <c r="DK12" s="23" t="s">
        <v>130</v>
      </c>
      <c r="DL12" s="23" t="s">
        <v>131</v>
      </c>
      <c r="DM12" s="23" t="s">
        <v>132</v>
      </c>
      <c r="DN12" s="23" t="s">
        <v>133</v>
      </c>
      <c r="DO12" s="23" t="s">
        <v>134</v>
      </c>
      <c r="DP12" s="23" t="s">
        <v>135</v>
      </c>
      <c r="DQ12" s="23" t="s">
        <v>136</v>
      </c>
      <c r="DR12" s="23" t="s">
        <v>137</v>
      </c>
      <c r="DS12" s="23" t="s">
        <v>138</v>
      </c>
      <c r="DT12" s="23" t="s">
        <v>139</v>
      </c>
      <c r="DU12" s="23" t="s">
        <v>140</v>
      </c>
      <c r="DV12" s="23" t="s">
        <v>141</v>
      </c>
      <c r="DW12" s="23" t="s">
        <v>142</v>
      </c>
      <c r="DX12" s="23" t="s">
        <v>143</v>
      </c>
      <c r="DY12" s="23" t="s">
        <v>144</v>
      </c>
      <c r="DZ12" s="23" t="s">
        <v>145</v>
      </c>
      <c r="EA12" s="23" t="s">
        <v>146</v>
      </c>
      <c r="EB12" s="23" t="s">
        <v>147</v>
      </c>
      <c r="EC12" s="23" t="s">
        <v>148</v>
      </c>
      <c r="ED12" s="23" t="s">
        <v>149</v>
      </c>
      <c r="EE12" s="23" t="s">
        <v>150</v>
      </c>
      <c r="EF12" s="23" t="s">
        <v>151</v>
      </c>
      <c r="EG12" s="23" t="s">
        <v>152</v>
      </c>
      <c r="EH12" s="23" t="s">
        <v>153</v>
      </c>
      <c r="EI12" s="23" t="s">
        <v>154</v>
      </c>
      <c r="EJ12" s="23" t="s">
        <v>155</v>
      </c>
      <c r="EK12" s="23" t="s">
        <v>156</v>
      </c>
      <c r="EL12" s="23" t="s">
        <v>157</v>
      </c>
      <c r="EM12" s="23" t="s">
        <v>158</v>
      </c>
      <c r="EN12" s="23" t="s">
        <v>159</v>
      </c>
      <c r="EO12" s="23" t="s">
        <v>160</v>
      </c>
      <c r="EP12" s="23" t="s">
        <v>161</v>
      </c>
      <c r="EQ12" s="23" t="s">
        <v>162</v>
      </c>
      <c r="ER12" s="23" t="s">
        <v>163</v>
      </c>
      <c r="ES12" s="23" t="s">
        <v>164</v>
      </c>
      <c r="ET12" s="23" t="s">
        <v>165</v>
      </c>
      <c r="EU12" s="23" t="s">
        <v>166</v>
      </c>
      <c r="EV12" s="23" t="s">
        <v>167</v>
      </c>
      <c r="EW12" s="23" t="s">
        <v>168</v>
      </c>
      <c r="EX12" s="23" t="s">
        <v>169</v>
      </c>
      <c r="EY12" s="23" t="s">
        <v>170</v>
      </c>
      <c r="EZ12" s="23" t="s">
        <v>171</v>
      </c>
      <c r="FA12" s="23" t="s">
        <v>172</v>
      </c>
      <c r="FB12" s="23" t="s">
        <v>173</v>
      </c>
      <c r="FC12" s="23" t="s">
        <v>174</v>
      </c>
      <c r="FD12" s="23" t="s">
        <v>175</v>
      </c>
      <c r="FE12" s="23" t="s">
        <v>176</v>
      </c>
      <c r="FF12" s="23" t="s">
        <v>177</v>
      </c>
      <c r="FG12" s="23" t="s">
        <v>178</v>
      </c>
      <c r="FH12" s="23" t="s">
        <v>179</v>
      </c>
      <c r="FI12" s="23" t="s">
        <v>180</v>
      </c>
      <c r="FJ12" s="23" t="s">
        <v>181</v>
      </c>
      <c r="FK12" s="23" t="s">
        <v>182</v>
      </c>
      <c r="FL12" s="23" t="s">
        <v>193</v>
      </c>
      <c r="FM12" s="23" t="s">
        <v>194</v>
      </c>
      <c r="FN12" s="23" t="s">
        <v>195</v>
      </c>
      <c r="FO12" s="23" t="s">
        <v>196</v>
      </c>
      <c r="FP12" s="23" t="s">
        <v>197</v>
      </c>
      <c r="FQ12" s="23" t="s">
        <v>198</v>
      </c>
      <c r="FR12" s="23" t="s">
        <v>199</v>
      </c>
      <c r="FS12" s="23" t="s">
        <v>200</v>
      </c>
      <c r="FT12" s="23" t="s">
        <v>201</v>
      </c>
      <c r="FU12" s="23" t="s">
        <v>202</v>
      </c>
      <c r="FV12" s="23" t="s">
        <v>203</v>
      </c>
      <c r="FW12" s="23" t="s">
        <v>204</v>
      </c>
      <c r="FX12" s="23" t="s">
        <v>205</v>
      </c>
      <c r="FY12" s="23" t="s">
        <v>206</v>
      </c>
      <c r="FZ12" s="23" t="s">
        <v>207</v>
      </c>
      <c r="GA12" s="23" t="s">
        <v>208</v>
      </c>
      <c r="GB12" s="23" t="s">
        <v>209</v>
      </c>
      <c r="GC12" s="23" t="s">
        <v>210</v>
      </c>
      <c r="GD12" s="23" t="s">
        <v>211</v>
      </c>
      <c r="GE12" s="23" t="s">
        <v>212</v>
      </c>
      <c r="GF12" s="23" t="s">
        <v>213</v>
      </c>
      <c r="GG12" s="23" t="s">
        <v>214</v>
      </c>
      <c r="GH12" s="23" t="s">
        <v>215</v>
      </c>
      <c r="GI12" s="23" t="s">
        <v>216</v>
      </c>
      <c r="GJ12" s="23" t="s">
        <v>217</v>
      </c>
      <c r="GK12" s="23" t="s">
        <v>218</v>
      </c>
      <c r="GL12" s="23" t="s">
        <v>219</v>
      </c>
      <c r="GM12" s="23" t="s">
        <v>220</v>
      </c>
      <c r="GN12" s="23" t="s">
        <v>221</v>
      </c>
      <c r="GO12" s="23" t="s">
        <v>222</v>
      </c>
      <c r="GP12" s="23" t="s">
        <v>223</v>
      </c>
      <c r="GQ12" s="23" t="s">
        <v>224</v>
      </c>
      <c r="GR12" s="23" t="s">
        <v>225</v>
      </c>
      <c r="GS12" s="23" t="s">
        <v>226</v>
      </c>
      <c r="GT12" s="23" t="s">
        <v>227</v>
      </c>
      <c r="GU12" s="23" t="s">
        <v>228</v>
      </c>
      <c r="GV12" s="23" t="s">
        <v>229</v>
      </c>
      <c r="GW12" s="23" t="s">
        <v>230</v>
      </c>
      <c r="GX12" s="23" t="s">
        <v>231</v>
      </c>
      <c r="GY12" s="23" t="s">
        <v>232</v>
      </c>
      <c r="GZ12" s="23" t="s">
        <v>233</v>
      </c>
      <c r="HA12" s="23" t="s">
        <v>234</v>
      </c>
      <c r="HB12" s="23" t="s">
        <v>235</v>
      </c>
      <c r="HC12" s="23" t="s">
        <v>236</v>
      </c>
      <c r="HD12" s="23" t="s">
        <v>237</v>
      </c>
      <c r="HE12" s="23" t="s">
        <v>238</v>
      </c>
      <c r="HF12" s="23" t="s">
        <v>239</v>
      </c>
      <c r="HG12" s="23" t="s">
        <v>240</v>
      </c>
      <c r="HH12" s="23" t="s">
        <v>241</v>
      </c>
      <c r="HI12" s="23" t="s">
        <v>242</v>
      </c>
      <c r="HJ12" s="23" t="s">
        <v>243</v>
      </c>
      <c r="HK12" s="23" t="s">
        <v>244</v>
      </c>
      <c r="HL12" s="23" t="s">
        <v>245</v>
      </c>
      <c r="HM12" s="23" t="s">
        <v>246</v>
      </c>
      <c r="HN12" s="23" t="s">
        <v>247</v>
      </c>
      <c r="HO12" s="23" t="s">
        <v>248</v>
      </c>
      <c r="HP12" s="23" t="s">
        <v>249</v>
      </c>
      <c r="HQ12" s="23" t="s">
        <v>250</v>
      </c>
      <c r="HR12" s="23" t="s">
        <v>251</v>
      </c>
      <c r="HS12" s="23" t="s">
        <v>252</v>
      </c>
      <c r="HT12" s="23" t="s">
        <v>253</v>
      </c>
      <c r="HU12" s="23" t="s">
        <v>254</v>
      </c>
      <c r="HV12" s="23" t="s">
        <v>255</v>
      </c>
      <c r="HW12" s="23" t="s">
        <v>256</v>
      </c>
      <c r="HX12" s="23" t="s">
        <v>257</v>
      </c>
      <c r="HY12" s="23" t="s">
        <v>258</v>
      </c>
      <c r="HZ12" s="23" t="s">
        <v>259</v>
      </c>
      <c r="IA12" s="23" t="s">
        <v>260</v>
      </c>
      <c r="IB12" s="23" t="s">
        <v>261</v>
      </c>
      <c r="IC12" s="23" t="s">
        <v>262</v>
      </c>
      <c r="ID12" s="23" t="s">
        <v>263</v>
      </c>
      <c r="IE12" s="23" t="s">
        <v>264</v>
      </c>
      <c r="IF12" s="23" t="s">
        <v>265</v>
      </c>
      <c r="IG12" s="23" t="s">
        <v>266</v>
      </c>
      <c r="IH12" s="23" t="s">
        <v>267</v>
      </c>
      <c r="II12" s="23" t="s">
        <v>268</v>
      </c>
      <c r="IJ12" s="23" t="s">
        <v>269</v>
      </c>
      <c r="IK12" s="23" t="s">
        <v>270</v>
      </c>
      <c r="IL12" s="23" t="s">
        <v>271</v>
      </c>
      <c r="IM12" s="23" t="s">
        <v>272</v>
      </c>
      <c r="IN12" s="23" t="s">
        <v>273</v>
      </c>
      <c r="IO12" s="23" t="s">
        <v>274</v>
      </c>
      <c r="IP12" s="23" t="s">
        <v>275</v>
      </c>
      <c r="IQ12" s="23" t="s">
        <v>276</v>
      </c>
      <c r="IR12" s="23" t="s">
        <v>277</v>
      </c>
      <c r="IS12" s="23" t="s">
        <v>278</v>
      </c>
      <c r="IT12" s="23" t="s">
        <v>279</v>
      </c>
      <c r="IU12" s="23" t="s">
        <v>280</v>
      </c>
      <c r="IV12" s="23" t="s">
        <v>281</v>
      </c>
      <c r="IW12" s="23" t="s">
        <v>282</v>
      </c>
      <c r="IX12" s="23" t="s">
        <v>183</v>
      </c>
      <c r="IY12" s="23" t="s">
        <v>184</v>
      </c>
      <c r="IZ12" s="23" t="s">
        <v>185</v>
      </c>
      <c r="JA12" s="23" t="s">
        <v>186</v>
      </c>
      <c r="JB12" s="23" t="s">
        <v>187</v>
      </c>
      <c r="JC12" s="23" t="s">
        <v>188</v>
      </c>
      <c r="JD12" s="23" t="s">
        <v>189</v>
      </c>
      <c r="JE12" s="23" t="s">
        <v>190</v>
      </c>
      <c r="JF12" s="23" t="s">
        <v>191</v>
      </c>
      <c r="JG12" s="23" t="s">
        <v>192</v>
      </c>
    </row>
    <row r="13" spans="2:458" ht="15.95" customHeight="1" x14ac:dyDescent="0.25">
      <c r="B13" s="3"/>
      <c r="C13" s="241" t="s">
        <v>5</v>
      </c>
      <c r="D13" s="242"/>
      <c r="E13" s="242"/>
      <c r="F13" s="242"/>
      <c r="G13" s="242"/>
      <c r="H13" s="348"/>
      <c r="I13" s="348"/>
      <c r="J13" s="348"/>
      <c r="K13" s="348"/>
      <c r="L13" s="348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2"/>
    </row>
    <row r="14" spans="2:458" ht="30" customHeight="1" x14ac:dyDescent="0.25">
      <c r="B14" s="3">
        <v>1</v>
      </c>
      <c r="C14" s="218" t="s">
        <v>2</v>
      </c>
      <c r="D14" s="218"/>
      <c r="E14" s="218"/>
      <c r="F14" s="218"/>
      <c r="G14" s="218"/>
      <c r="H14" s="16"/>
      <c r="I14" s="16"/>
      <c r="J14" s="16"/>
      <c r="K14" s="16"/>
      <c r="L14" s="16"/>
      <c r="M14" s="16"/>
      <c r="N14" s="31" t="s">
        <v>29</v>
      </c>
      <c r="O14" s="24"/>
      <c r="P14" s="24"/>
      <c r="Q14" s="25"/>
      <c r="R14" s="26"/>
      <c r="S14" s="26"/>
      <c r="T14" s="26"/>
      <c r="U14" s="25"/>
      <c r="V14" s="26"/>
      <c r="W14" s="26"/>
      <c r="X14" s="26"/>
      <c r="Y14" s="26"/>
      <c r="Z14" s="26"/>
      <c r="AA14" s="26"/>
      <c r="AB14" s="26"/>
      <c r="AC14" s="26"/>
      <c r="AD14" s="27"/>
      <c r="AE14" s="28"/>
      <c r="AF14" s="28"/>
      <c r="AG14" s="28"/>
      <c r="AH14" s="28"/>
      <c r="AI14" s="28"/>
      <c r="AJ14" s="28"/>
      <c r="AK14" s="28"/>
      <c r="AL14" s="28"/>
      <c r="AM14" s="27"/>
      <c r="AN14" s="28"/>
      <c r="AO14" s="28"/>
      <c r="AP14" s="28"/>
      <c r="AQ14" s="28"/>
      <c r="AR14" s="29"/>
      <c r="AS14" s="30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31" t="s">
        <v>283</v>
      </c>
      <c r="EP14" s="31"/>
      <c r="EQ14" s="31"/>
      <c r="ER14" s="31"/>
      <c r="ES14" s="31" t="s">
        <v>285</v>
      </c>
      <c r="ET14" s="27"/>
      <c r="EU14" s="27"/>
      <c r="EV14" s="27"/>
      <c r="EW14" s="27"/>
      <c r="EX14" s="27"/>
      <c r="EY14" s="27"/>
      <c r="EZ14" s="27"/>
      <c r="FA14" s="31" t="s">
        <v>284</v>
      </c>
      <c r="FB14" s="31"/>
      <c r="FC14" s="31" t="s">
        <v>286</v>
      </c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31" t="s">
        <v>287</v>
      </c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</row>
    <row r="15" spans="2:458" ht="30" customHeight="1" x14ac:dyDescent="0.25">
      <c r="B15" s="3">
        <v>2</v>
      </c>
      <c r="C15" s="218" t="s">
        <v>3</v>
      </c>
      <c r="D15" s="218"/>
      <c r="E15" s="218"/>
      <c r="F15" s="218"/>
      <c r="G15" s="218"/>
      <c r="H15" s="15"/>
      <c r="I15" s="15"/>
      <c r="J15" s="15"/>
      <c r="K15" s="15"/>
      <c r="L15" s="15"/>
      <c r="M15" s="15"/>
      <c r="N15" s="35" t="s">
        <v>29</v>
      </c>
      <c r="O15" s="35"/>
      <c r="P15" s="35" t="s">
        <v>1705</v>
      </c>
      <c r="Q15" s="35" t="s">
        <v>1703</v>
      </c>
      <c r="R15" s="35"/>
      <c r="S15" s="35"/>
      <c r="T15" s="35"/>
      <c r="U15" s="35"/>
      <c r="V15" s="35"/>
      <c r="W15" s="35"/>
      <c r="X15" s="35"/>
      <c r="Y15" s="35"/>
      <c r="Z15" s="35"/>
      <c r="AA15" s="35" t="s">
        <v>292</v>
      </c>
      <c r="AB15" s="35"/>
      <c r="AC15" s="32"/>
      <c r="AD15" s="33"/>
      <c r="AE15" s="33"/>
      <c r="AF15" s="33"/>
      <c r="AG15" s="33"/>
      <c r="AH15" s="33"/>
      <c r="AI15" s="34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5" t="s">
        <v>77</v>
      </c>
      <c r="BK15" s="35"/>
      <c r="BL15" s="35"/>
      <c r="BM15" s="35"/>
      <c r="BN15" s="35"/>
      <c r="BO15" s="35" t="s">
        <v>1709</v>
      </c>
      <c r="BP15" s="35"/>
      <c r="BQ15" s="35"/>
      <c r="BR15" s="35"/>
      <c r="BS15" s="35"/>
      <c r="BT15" s="35"/>
      <c r="BU15" s="35" t="s">
        <v>1714</v>
      </c>
      <c r="BV15" s="35"/>
      <c r="BW15" s="35"/>
      <c r="BX15" s="35" t="s">
        <v>91</v>
      </c>
      <c r="BY15" s="35"/>
      <c r="BZ15" s="35"/>
      <c r="CA15" s="35" t="s">
        <v>94</v>
      </c>
      <c r="CB15" s="35"/>
      <c r="CC15" s="35"/>
      <c r="CD15" s="35"/>
      <c r="CE15" s="35"/>
      <c r="CF15" s="35"/>
      <c r="CG15" s="35"/>
      <c r="CH15" s="35"/>
      <c r="CI15" s="35"/>
      <c r="CJ15" s="35" t="s">
        <v>1738</v>
      </c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 t="s">
        <v>1748</v>
      </c>
      <c r="DM15" s="35"/>
      <c r="DN15" s="35"/>
      <c r="DO15" s="35"/>
      <c r="DP15" s="35"/>
      <c r="DQ15" s="35"/>
      <c r="DR15" s="35" t="s">
        <v>137</v>
      </c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35" t="s">
        <v>289</v>
      </c>
      <c r="EY15" s="33"/>
      <c r="EZ15" s="33"/>
      <c r="FA15" s="35" t="s">
        <v>290</v>
      </c>
      <c r="FB15" s="35"/>
      <c r="FC15" s="35" t="s">
        <v>291</v>
      </c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5"/>
      <c r="FO15" s="33"/>
      <c r="FP15" s="33"/>
      <c r="FQ15" s="33"/>
      <c r="FR15" s="33"/>
      <c r="FS15" s="33"/>
      <c r="FT15" s="35" t="s">
        <v>293</v>
      </c>
      <c r="FU15" s="35"/>
      <c r="FV15" s="35"/>
      <c r="FW15" s="35"/>
      <c r="FX15" s="35"/>
      <c r="FY15" s="35"/>
      <c r="FZ15" s="35"/>
      <c r="GA15" s="35"/>
      <c r="GB15" s="35"/>
      <c r="GC15" s="35"/>
      <c r="GD15" s="35" t="s">
        <v>1700</v>
      </c>
      <c r="GE15" s="35"/>
      <c r="GF15" s="35" t="s">
        <v>213</v>
      </c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</row>
    <row r="16" spans="2:458" ht="30" customHeight="1" x14ac:dyDescent="0.25">
      <c r="B16" s="3">
        <v>3</v>
      </c>
      <c r="C16" s="218" t="s">
        <v>4</v>
      </c>
      <c r="D16" s="218"/>
      <c r="E16" s="218"/>
      <c r="F16" s="218"/>
      <c r="G16" s="218"/>
      <c r="H16" s="15"/>
      <c r="I16" s="15"/>
      <c r="J16" s="15"/>
      <c r="K16" s="15"/>
      <c r="L16" s="15"/>
      <c r="M16" s="15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6"/>
      <c r="CO16" s="56"/>
      <c r="CP16" s="56"/>
      <c r="CQ16" s="56"/>
      <c r="CR16" s="56"/>
      <c r="CS16" s="56"/>
      <c r="CT16" s="56"/>
      <c r="CU16" s="56"/>
      <c r="CV16" s="56"/>
      <c r="CW16" s="56"/>
      <c r="CX16" s="56"/>
      <c r="CY16" s="56"/>
      <c r="CZ16" s="56"/>
      <c r="DA16" s="56" t="s">
        <v>1751</v>
      </c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</row>
    <row r="17" spans="2:471" ht="15.95" customHeight="1" x14ac:dyDescent="0.25">
      <c r="B17" s="3"/>
      <c r="C17" s="241" t="s">
        <v>6</v>
      </c>
      <c r="D17" s="242"/>
      <c r="E17" s="242"/>
      <c r="F17" s="242"/>
      <c r="G17" s="242"/>
      <c r="H17" s="348"/>
      <c r="I17" s="348"/>
      <c r="J17" s="348"/>
      <c r="K17" s="348"/>
      <c r="L17" s="348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2"/>
      <c r="AI17" s="1"/>
    </row>
    <row r="18" spans="2:471" ht="30" customHeight="1" x14ac:dyDescent="0.25">
      <c r="B18" s="3">
        <v>1</v>
      </c>
      <c r="C18" s="218" t="s">
        <v>8</v>
      </c>
      <c r="D18" s="218"/>
      <c r="E18" s="218"/>
      <c r="F18" s="218"/>
      <c r="G18" s="218"/>
      <c r="H18" s="15"/>
      <c r="I18" s="15"/>
      <c r="J18" s="15"/>
      <c r="K18" s="15"/>
      <c r="L18" s="15"/>
      <c r="M18" s="15"/>
      <c r="N18" s="43" t="s">
        <v>29</v>
      </c>
      <c r="O18" s="43"/>
      <c r="P18" s="43"/>
      <c r="Q18" s="43" t="s">
        <v>1703</v>
      </c>
      <c r="R18" s="43"/>
      <c r="S18" s="43"/>
      <c r="T18" s="43"/>
      <c r="U18" s="43"/>
      <c r="V18" s="43" t="s">
        <v>1696</v>
      </c>
      <c r="W18" s="43"/>
      <c r="X18" s="43"/>
      <c r="Y18" s="43" t="s">
        <v>288</v>
      </c>
      <c r="Z18" s="44"/>
      <c r="AA18" s="44"/>
      <c r="AB18" s="44"/>
      <c r="AC18" s="44"/>
      <c r="AD18" s="45"/>
      <c r="AE18" s="45"/>
      <c r="AF18" s="45"/>
      <c r="AG18" s="45"/>
      <c r="AH18" s="45"/>
      <c r="AI18" s="46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3" t="s">
        <v>77</v>
      </c>
      <c r="BK18" s="43"/>
      <c r="BL18" s="43" t="s">
        <v>79</v>
      </c>
      <c r="BM18" s="43"/>
      <c r="BN18" s="43"/>
      <c r="BO18" s="43"/>
      <c r="BP18" s="43" t="s">
        <v>83</v>
      </c>
      <c r="BQ18" s="43"/>
      <c r="BR18" s="43"/>
      <c r="BS18" s="43" t="s">
        <v>86</v>
      </c>
      <c r="BT18" s="43"/>
      <c r="BU18" s="43"/>
      <c r="BV18" s="43" t="s">
        <v>89</v>
      </c>
      <c r="BW18" s="43"/>
      <c r="BX18" s="43" t="s">
        <v>91</v>
      </c>
      <c r="BY18" s="43"/>
      <c r="BZ18" s="43"/>
      <c r="CA18" s="43"/>
      <c r="CB18" s="43"/>
      <c r="CC18" s="43"/>
      <c r="CD18" s="43"/>
      <c r="CE18" s="43" t="s">
        <v>1720</v>
      </c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 t="s">
        <v>118</v>
      </c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 t="s">
        <v>1747</v>
      </c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 t="s">
        <v>1761</v>
      </c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43" t="s">
        <v>289</v>
      </c>
      <c r="EY18" s="45"/>
      <c r="EZ18" s="45"/>
      <c r="FA18" s="43" t="s">
        <v>290</v>
      </c>
      <c r="FB18" s="43"/>
      <c r="FC18" s="43" t="s">
        <v>291</v>
      </c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3"/>
      <c r="FO18" s="43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3" t="s">
        <v>213</v>
      </c>
      <c r="GG18" s="23"/>
      <c r="GH18" s="23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19"/>
      <c r="IV18" s="19"/>
      <c r="IW18" s="19"/>
      <c r="IX18" s="19"/>
      <c r="IY18" s="19"/>
      <c r="IZ18" s="19"/>
      <c r="JA18" s="19"/>
      <c r="JB18" s="19"/>
      <c r="JC18" s="19"/>
      <c r="JD18" s="19"/>
      <c r="JE18" s="19"/>
      <c r="JF18" s="19"/>
      <c r="JG18" s="19"/>
    </row>
    <row r="19" spans="2:471" ht="30" customHeight="1" x14ac:dyDescent="0.25">
      <c r="B19" s="3">
        <v>2</v>
      </c>
      <c r="C19" s="218" t="s">
        <v>9</v>
      </c>
      <c r="D19" s="218"/>
      <c r="E19" s="218"/>
      <c r="F19" s="218"/>
      <c r="G19" s="218"/>
      <c r="H19" s="15"/>
      <c r="I19" s="15"/>
      <c r="J19" s="15"/>
      <c r="K19" s="15"/>
      <c r="L19" s="15"/>
      <c r="M19" s="15"/>
      <c r="N19" s="38" t="s">
        <v>29</v>
      </c>
      <c r="O19" s="39"/>
      <c r="P19" s="39"/>
      <c r="Q19" s="40"/>
      <c r="R19" s="41"/>
      <c r="S19" s="41"/>
      <c r="T19" s="41"/>
      <c r="U19" s="40"/>
      <c r="V19" s="41"/>
      <c r="W19" s="41"/>
      <c r="X19" s="41"/>
      <c r="Y19" s="41"/>
      <c r="Z19" s="41"/>
      <c r="AA19" s="41"/>
      <c r="AB19" s="41"/>
      <c r="AC19" s="41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  <c r="GP19" s="42"/>
      <c r="GQ19" s="42"/>
      <c r="GR19" s="42"/>
      <c r="GS19" s="42"/>
      <c r="GT19" s="42"/>
      <c r="GU19" s="42"/>
      <c r="GV19" s="38"/>
      <c r="GW19" s="42"/>
      <c r="GX19" s="42"/>
      <c r="GY19" s="42"/>
      <c r="GZ19" s="42"/>
      <c r="HA19" s="42"/>
      <c r="HB19" s="42"/>
      <c r="HC19" s="42"/>
      <c r="HD19" s="42"/>
      <c r="HE19" s="42"/>
      <c r="HF19" s="38" t="s">
        <v>294</v>
      </c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19"/>
      <c r="IV19" s="19"/>
      <c r="IW19" s="19"/>
      <c r="IX19" s="19"/>
      <c r="IY19" s="19"/>
      <c r="IZ19" s="19"/>
      <c r="JA19" s="19"/>
      <c r="JB19" s="19"/>
      <c r="JC19" s="19"/>
      <c r="JD19" s="19"/>
      <c r="JE19" s="19"/>
      <c r="JF19" s="19"/>
      <c r="JG19" s="19"/>
    </row>
    <row r="22" spans="2:471" ht="35.1" customHeight="1" x14ac:dyDescent="0.2">
      <c r="B22" s="47" t="s">
        <v>756</v>
      </c>
      <c r="C22" s="48"/>
      <c r="D22" s="48"/>
      <c r="E22" s="48"/>
      <c r="F22" s="48"/>
      <c r="G22" s="49"/>
      <c r="H22" s="23" t="s">
        <v>757</v>
      </c>
      <c r="I22" s="23" t="s">
        <v>758</v>
      </c>
      <c r="J22" s="23" t="s">
        <v>759</v>
      </c>
      <c r="K22" s="23" t="s">
        <v>760</v>
      </c>
      <c r="L22" s="23" t="s">
        <v>761</v>
      </c>
      <c r="M22" s="23" t="s">
        <v>762</v>
      </c>
      <c r="N22" s="23" t="s">
        <v>763</v>
      </c>
      <c r="O22" s="23" t="s">
        <v>764</v>
      </c>
      <c r="P22" s="23" t="s">
        <v>765</v>
      </c>
      <c r="Q22" s="23" t="s">
        <v>766</v>
      </c>
      <c r="R22" s="23" t="s">
        <v>767</v>
      </c>
      <c r="S22" s="23" t="s">
        <v>768</v>
      </c>
      <c r="T22" s="23" t="s">
        <v>769</v>
      </c>
      <c r="U22" s="23" t="s">
        <v>770</v>
      </c>
      <c r="V22" s="23" t="s">
        <v>771</v>
      </c>
      <c r="W22" s="23" t="s">
        <v>772</v>
      </c>
      <c r="X22" s="23" t="s">
        <v>773</v>
      </c>
      <c r="Y22" s="23" t="s">
        <v>774</v>
      </c>
      <c r="Z22" s="23" t="s">
        <v>775</v>
      </c>
      <c r="AA22" s="23" t="s">
        <v>776</v>
      </c>
      <c r="AB22" s="23" t="s">
        <v>777</v>
      </c>
      <c r="AC22" s="23" t="s">
        <v>778</v>
      </c>
      <c r="AD22" s="23" t="s">
        <v>779</v>
      </c>
      <c r="AE22" s="23" t="s">
        <v>780</v>
      </c>
      <c r="AF22" s="23" t="s">
        <v>781</v>
      </c>
      <c r="AG22" s="23" t="s">
        <v>782</v>
      </c>
      <c r="AH22" s="23" t="s">
        <v>783</v>
      </c>
      <c r="AI22" s="23" t="s">
        <v>784</v>
      </c>
      <c r="AJ22" s="23" t="s">
        <v>785</v>
      </c>
      <c r="AK22" s="23" t="s">
        <v>786</v>
      </c>
      <c r="AL22" s="23" t="s">
        <v>787</v>
      </c>
      <c r="AM22" s="23" t="s">
        <v>788</v>
      </c>
      <c r="AN22" s="23" t="s">
        <v>789</v>
      </c>
      <c r="AO22" s="23" t="s">
        <v>790</v>
      </c>
      <c r="AP22" s="23" t="s">
        <v>791</v>
      </c>
      <c r="AQ22" s="23" t="s">
        <v>792</v>
      </c>
      <c r="AR22" s="23" t="s">
        <v>793</v>
      </c>
      <c r="AS22" s="23" t="s">
        <v>794</v>
      </c>
      <c r="AT22" s="23" t="s">
        <v>795</v>
      </c>
      <c r="AU22" s="23" t="s">
        <v>796</v>
      </c>
      <c r="AV22" s="23" t="s">
        <v>798</v>
      </c>
      <c r="AW22" s="23" t="s">
        <v>797</v>
      </c>
      <c r="AX22" s="23" t="s">
        <v>799</v>
      </c>
      <c r="AY22" s="23" t="s">
        <v>800</v>
      </c>
      <c r="AZ22" s="23" t="s">
        <v>801</v>
      </c>
      <c r="BA22" s="23" t="s">
        <v>802</v>
      </c>
      <c r="BB22" s="23" t="s">
        <v>803</v>
      </c>
      <c r="BC22" s="23" t="s">
        <v>804</v>
      </c>
      <c r="BD22" s="23" t="s">
        <v>805</v>
      </c>
      <c r="BE22" s="23" t="s">
        <v>806</v>
      </c>
      <c r="BF22" s="23" t="s">
        <v>807</v>
      </c>
      <c r="BG22" s="23" t="s">
        <v>808</v>
      </c>
      <c r="BH22" s="23" t="s">
        <v>809</v>
      </c>
      <c r="BI22" s="23" t="s">
        <v>810</v>
      </c>
      <c r="BJ22" s="23" t="s">
        <v>811</v>
      </c>
      <c r="BK22" s="23" t="s">
        <v>812</v>
      </c>
      <c r="BL22" s="23" t="s">
        <v>813</v>
      </c>
      <c r="BM22" s="23" t="s">
        <v>814</v>
      </c>
      <c r="BN22" s="23" t="s">
        <v>815</v>
      </c>
      <c r="BO22" s="23" t="s">
        <v>816</v>
      </c>
      <c r="BP22" s="23" t="s">
        <v>817</v>
      </c>
      <c r="BQ22" s="23" t="s">
        <v>818</v>
      </c>
      <c r="BR22" s="23" t="s">
        <v>819</v>
      </c>
      <c r="BS22" s="23" t="s">
        <v>820</v>
      </c>
      <c r="BT22" s="23" t="s">
        <v>821</v>
      </c>
      <c r="BU22" s="23" t="s">
        <v>822</v>
      </c>
      <c r="BV22" s="23" t="s">
        <v>823</v>
      </c>
      <c r="BW22" s="23" t="s">
        <v>824</v>
      </c>
      <c r="BX22" s="23" t="s">
        <v>825</v>
      </c>
      <c r="BY22" s="23" t="s">
        <v>826</v>
      </c>
      <c r="BZ22" s="23" t="s">
        <v>827</v>
      </c>
      <c r="CA22" s="23" t="s">
        <v>828</v>
      </c>
      <c r="CB22" s="23" t="s">
        <v>829</v>
      </c>
      <c r="CC22" s="23" t="s">
        <v>830</v>
      </c>
      <c r="CD22" s="23" t="s">
        <v>831</v>
      </c>
      <c r="CE22" s="23" t="s">
        <v>832</v>
      </c>
      <c r="CF22" s="23" t="s">
        <v>833</v>
      </c>
      <c r="CG22" s="23" t="s">
        <v>834</v>
      </c>
      <c r="CH22" s="23" t="s">
        <v>835</v>
      </c>
      <c r="CI22" s="23" t="s">
        <v>836</v>
      </c>
      <c r="CJ22" s="23" t="s">
        <v>837</v>
      </c>
      <c r="CK22" s="23" t="s">
        <v>838</v>
      </c>
      <c r="CL22" s="23" t="s">
        <v>839</v>
      </c>
      <c r="CM22" s="23" t="s">
        <v>840</v>
      </c>
      <c r="CN22" s="23" t="s">
        <v>841</v>
      </c>
      <c r="CO22" s="23" t="s">
        <v>842</v>
      </c>
      <c r="CP22" s="23" t="s">
        <v>843</v>
      </c>
      <c r="CQ22" s="23" t="s">
        <v>844</v>
      </c>
      <c r="CR22" s="23" t="s">
        <v>845</v>
      </c>
      <c r="CS22" s="23" t="s">
        <v>846</v>
      </c>
      <c r="CT22" s="23" t="s">
        <v>847</v>
      </c>
      <c r="CU22" s="23" t="s">
        <v>848</v>
      </c>
      <c r="CV22" s="23" t="s">
        <v>849</v>
      </c>
      <c r="CW22" s="23" t="s">
        <v>850</v>
      </c>
      <c r="CX22" s="23" t="s">
        <v>851</v>
      </c>
      <c r="CY22" s="23" t="s">
        <v>852</v>
      </c>
      <c r="CZ22" s="23" t="s">
        <v>853</v>
      </c>
      <c r="DA22" s="23" t="s">
        <v>854</v>
      </c>
      <c r="DB22" s="23" t="s">
        <v>855</v>
      </c>
      <c r="DC22" s="23" t="s">
        <v>856</v>
      </c>
      <c r="DD22" s="23" t="s">
        <v>857</v>
      </c>
      <c r="DE22" s="23" t="s">
        <v>858</v>
      </c>
      <c r="DF22" s="23" t="s">
        <v>859</v>
      </c>
      <c r="DG22" s="23" t="s">
        <v>860</v>
      </c>
      <c r="DH22" s="23" t="s">
        <v>861</v>
      </c>
      <c r="DI22" s="23" t="s">
        <v>862</v>
      </c>
      <c r="DJ22" s="23" t="s">
        <v>863</v>
      </c>
      <c r="DK22" s="23" t="s">
        <v>864</v>
      </c>
      <c r="DL22" s="23" t="s">
        <v>865</v>
      </c>
      <c r="DM22" s="23" t="s">
        <v>866</v>
      </c>
      <c r="DN22" s="23" t="s">
        <v>867</v>
      </c>
      <c r="DO22" s="23" t="s">
        <v>868</v>
      </c>
      <c r="DP22" s="23" t="s">
        <v>869</v>
      </c>
      <c r="DQ22" s="23" t="s">
        <v>870</v>
      </c>
      <c r="DR22" s="23" t="s">
        <v>871</v>
      </c>
      <c r="DS22" s="23" t="s">
        <v>872</v>
      </c>
      <c r="DT22" s="23" t="s">
        <v>873</v>
      </c>
      <c r="DU22" s="23" t="s">
        <v>874</v>
      </c>
      <c r="DV22" s="23" t="s">
        <v>875</v>
      </c>
      <c r="DW22" s="23" t="s">
        <v>876</v>
      </c>
      <c r="DX22" s="23" t="s">
        <v>877</v>
      </c>
      <c r="DY22" s="23" t="s">
        <v>878</v>
      </c>
      <c r="DZ22" s="23" t="s">
        <v>879</v>
      </c>
      <c r="EA22" s="23" t="s">
        <v>880</v>
      </c>
      <c r="EB22" s="23" t="s">
        <v>881</v>
      </c>
      <c r="EC22" s="23" t="s">
        <v>882</v>
      </c>
      <c r="ED22" s="23" t="s">
        <v>883</v>
      </c>
      <c r="EE22" s="23" t="s">
        <v>884</v>
      </c>
      <c r="EF22" s="23" t="s">
        <v>885</v>
      </c>
      <c r="EG22" s="23" t="s">
        <v>886</v>
      </c>
      <c r="EH22" s="23" t="s">
        <v>887</v>
      </c>
      <c r="EI22" s="23" t="s">
        <v>888</v>
      </c>
      <c r="EJ22" s="23" t="s">
        <v>889</v>
      </c>
      <c r="EK22" s="23" t="s">
        <v>890</v>
      </c>
      <c r="EL22" s="23" t="s">
        <v>891</v>
      </c>
      <c r="EM22" s="23" t="s">
        <v>892</v>
      </c>
      <c r="EN22" s="23" t="s">
        <v>893</v>
      </c>
      <c r="EO22" s="23" t="s">
        <v>894</v>
      </c>
      <c r="EP22" s="23" t="s">
        <v>895</v>
      </c>
      <c r="EQ22" s="23" t="s">
        <v>896</v>
      </c>
      <c r="ER22" s="23" t="s">
        <v>897</v>
      </c>
      <c r="ES22" s="23" t="s">
        <v>898</v>
      </c>
      <c r="ET22" s="23" t="s">
        <v>899</v>
      </c>
      <c r="EU22" s="23" t="s">
        <v>900</v>
      </c>
      <c r="EV22" s="23" t="s">
        <v>901</v>
      </c>
      <c r="EW22" s="23" t="s">
        <v>902</v>
      </c>
      <c r="EX22" s="23" t="s">
        <v>903</v>
      </c>
      <c r="EY22" s="23" t="s">
        <v>904</v>
      </c>
      <c r="EZ22" s="23" t="s">
        <v>905</v>
      </c>
      <c r="FA22" s="23" t="s">
        <v>906</v>
      </c>
      <c r="FB22" s="23" t="s">
        <v>907</v>
      </c>
      <c r="FC22" s="23" t="s">
        <v>908</v>
      </c>
      <c r="FD22" s="23" t="s">
        <v>909</v>
      </c>
      <c r="FE22" s="23" t="s">
        <v>910</v>
      </c>
      <c r="FF22" s="23" t="s">
        <v>911</v>
      </c>
      <c r="FG22" s="23" t="s">
        <v>912</v>
      </c>
      <c r="FH22" s="23" t="s">
        <v>913</v>
      </c>
      <c r="FI22" s="23" t="s">
        <v>914</v>
      </c>
      <c r="FJ22" s="23" t="s">
        <v>915</v>
      </c>
      <c r="FK22" s="23" t="s">
        <v>916</v>
      </c>
      <c r="FL22" s="23" t="s">
        <v>917</v>
      </c>
      <c r="FM22" s="23" t="s">
        <v>918</v>
      </c>
      <c r="FN22" s="23" t="s">
        <v>919</v>
      </c>
      <c r="FO22" s="23" t="s">
        <v>920</v>
      </c>
      <c r="FP22" s="23" t="s">
        <v>921</v>
      </c>
      <c r="FQ22" s="23" t="s">
        <v>922</v>
      </c>
      <c r="FR22" s="23" t="s">
        <v>923</v>
      </c>
      <c r="FS22" s="23" t="s">
        <v>924</v>
      </c>
      <c r="FT22" s="23" t="s">
        <v>925</v>
      </c>
      <c r="FU22" s="23" t="s">
        <v>926</v>
      </c>
      <c r="FV22" s="23" t="s">
        <v>927</v>
      </c>
      <c r="FW22" s="23" t="s">
        <v>928</v>
      </c>
      <c r="FX22" s="23" t="s">
        <v>929</v>
      </c>
      <c r="FY22" s="23" t="s">
        <v>930</v>
      </c>
      <c r="FZ22" s="23" t="s">
        <v>931</v>
      </c>
      <c r="GA22" s="23" t="s">
        <v>932</v>
      </c>
      <c r="GB22" s="23" t="s">
        <v>933</v>
      </c>
      <c r="GC22" s="23" t="s">
        <v>934</v>
      </c>
      <c r="GD22" s="23" t="s">
        <v>935</v>
      </c>
      <c r="GE22" s="23" t="s">
        <v>936</v>
      </c>
      <c r="GF22" s="23" t="s">
        <v>937</v>
      </c>
      <c r="GG22" s="23" t="s">
        <v>938</v>
      </c>
      <c r="GH22" s="23" t="s">
        <v>939</v>
      </c>
      <c r="GI22" s="23" t="s">
        <v>940</v>
      </c>
      <c r="GJ22" s="23" t="s">
        <v>941</v>
      </c>
      <c r="GK22" s="23" t="s">
        <v>942</v>
      </c>
      <c r="GL22" s="23" t="s">
        <v>943</v>
      </c>
      <c r="GM22" s="23" t="s">
        <v>944</v>
      </c>
      <c r="GN22" s="23" t="s">
        <v>945</v>
      </c>
      <c r="GO22" s="23" t="s">
        <v>946</v>
      </c>
      <c r="GP22" s="23" t="s">
        <v>947</v>
      </c>
      <c r="GQ22" s="23" t="s">
        <v>948</v>
      </c>
      <c r="GR22" s="23" t="s">
        <v>949</v>
      </c>
      <c r="GS22" s="23" t="s">
        <v>950</v>
      </c>
      <c r="GT22" s="23" t="s">
        <v>951</v>
      </c>
      <c r="GU22" s="23" t="s">
        <v>952</v>
      </c>
      <c r="GV22" s="23" t="s">
        <v>953</v>
      </c>
      <c r="GW22" s="23" t="s">
        <v>954</v>
      </c>
      <c r="GX22" s="23" t="s">
        <v>955</v>
      </c>
      <c r="GY22" s="23" t="s">
        <v>956</v>
      </c>
      <c r="GZ22" s="23" t="s">
        <v>957</v>
      </c>
      <c r="HA22" s="23" t="s">
        <v>958</v>
      </c>
      <c r="HB22" s="23" t="s">
        <v>959</v>
      </c>
      <c r="HC22" s="23" t="s">
        <v>960</v>
      </c>
      <c r="HD22" s="23" t="s">
        <v>961</v>
      </c>
      <c r="HE22" s="23" t="s">
        <v>962</v>
      </c>
      <c r="HF22" s="23" t="s">
        <v>963</v>
      </c>
      <c r="HG22" s="23" t="s">
        <v>964</v>
      </c>
      <c r="HH22" s="23" t="s">
        <v>965</v>
      </c>
      <c r="HI22" s="23" t="s">
        <v>966</v>
      </c>
      <c r="HJ22" s="23" t="s">
        <v>967</v>
      </c>
      <c r="HK22" s="23" t="s">
        <v>968</v>
      </c>
      <c r="HL22" s="23" t="s">
        <v>969</v>
      </c>
      <c r="HM22" s="23" t="s">
        <v>970</v>
      </c>
      <c r="HN22" s="23" t="s">
        <v>971</v>
      </c>
      <c r="HO22" s="23" t="s">
        <v>972</v>
      </c>
      <c r="HP22" s="23" t="s">
        <v>973</v>
      </c>
      <c r="HQ22" s="23" t="s">
        <v>974</v>
      </c>
      <c r="HR22" s="23" t="s">
        <v>975</v>
      </c>
      <c r="HS22" s="23" t="s">
        <v>976</v>
      </c>
      <c r="HT22" s="23" t="s">
        <v>977</v>
      </c>
      <c r="HU22" s="23" t="s">
        <v>978</v>
      </c>
      <c r="HV22" s="23" t="s">
        <v>979</v>
      </c>
      <c r="HW22" s="23" t="s">
        <v>980</v>
      </c>
      <c r="HX22" s="23" t="s">
        <v>981</v>
      </c>
      <c r="HY22" s="23" t="s">
        <v>982</v>
      </c>
      <c r="HZ22" s="23" t="s">
        <v>983</v>
      </c>
      <c r="IA22" s="23" t="s">
        <v>984</v>
      </c>
      <c r="IB22" s="23" t="s">
        <v>985</v>
      </c>
      <c r="IC22" s="23" t="s">
        <v>986</v>
      </c>
      <c r="ID22" s="23" t="s">
        <v>987</v>
      </c>
      <c r="IE22" s="23" t="s">
        <v>988</v>
      </c>
      <c r="IF22" s="23" t="s">
        <v>989</v>
      </c>
      <c r="IG22" s="23" t="s">
        <v>990</v>
      </c>
      <c r="IH22" s="23" t="s">
        <v>991</v>
      </c>
      <c r="II22" s="23" t="s">
        <v>992</v>
      </c>
      <c r="IJ22" s="23" t="s">
        <v>993</v>
      </c>
      <c r="IK22" s="23" t="s">
        <v>994</v>
      </c>
      <c r="IL22" s="23" t="s">
        <v>995</v>
      </c>
      <c r="IM22" s="23" t="s">
        <v>996</v>
      </c>
      <c r="IN22" s="23" t="s">
        <v>997</v>
      </c>
      <c r="IO22" s="23" t="s">
        <v>998</v>
      </c>
      <c r="IP22" s="23" t="s">
        <v>999</v>
      </c>
      <c r="IQ22" s="23" t="s">
        <v>1000</v>
      </c>
      <c r="IR22" s="23" t="s">
        <v>1001</v>
      </c>
      <c r="IS22" s="23" t="s">
        <v>1002</v>
      </c>
      <c r="IT22" s="23" t="s">
        <v>1003</v>
      </c>
      <c r="IU22" s="23" t="s">
        <v>1004</v>
      </c>
      <c r="IV22" s="23" t="s">
        <v>1005</v>
      </c>
      <c r="IW22" s="23" t="s">
        <v>1006</v>
      </c>
      <c r="IX22" s="23" t="s">
        <v>1007</v>
      </c>
      <c r="IY22" s="23" t="s">
        <v>1008</v>
      </c>
      <c r="IZ22" s="23" t="s">
        <v>1009</v>
      </c>
      <c r="JA22" s="23" t="s">
        <v>1010</v>
      </c>
      <c r="JB22" s="23" t="s">
        <v>1011</v>
      </c>
      <c r="JC22" s="23" t="s">
        <v>1012</v>
      </c>
      <c r="JD22" s="23" t="s">
        <v>1013</v>
      </c>
      <c r="JE22" s="23" t="s">
        <v>1014</v>
      </c>
      <c r="JF22" s="23" t="s">
        <v>1015</v>
      </c>
      <c r="JG22" s="23" t="s">
        <v>1016</v>
      </c>
      <c r="JH22" s="23" t="s">
        <v>1017</v>
      </c>
      <c r="JI22" s="23" t="s">
        <v>1018</v>
      </c>
      <c r="JJ22" s="23" t="s">
        <v>1019</v>
      </c>
      <c r="JK22" s="23" t="s">
        <v>1020</v>
      </c>
      <c r="JL22" s="23" t="s">
        <v>1021</v>
      </c>
      <c r="JM22" s="23" t="s">
        <v>1022</v>
      </c>
      <c r="JN22" s="23" t="s">
        <v>1023</v>
      </c>
      <c r="JO22" s="23" t="s">
        <v>1024</v>
      </c>
      <c r="JP22" s="23" t="s">
        <v>1025</v>
      </c>
      <c r="JQ22" s="23" t="s">
        <v>1026</v>
      </c>
      <c r="JR22" s="23" t="s">
        <v>1027</v>
      </c>
      <c r="JS22" s="23" t="s">
        <v>1028</v>
      </c>
      <c r="JT22" s="23" t="s">
        <v>1029</v>
      </c>
      <c r="JU22" s="23" t="s">
        <v>1030</v>
      </c>
      <c r="JV22" s="23" t="s">
        <v>1031</v>
      </c>
      <c r="JW22" s="23" t="s">
        <v>1032</v>
      </c>
      <c r="JX22" s="23" t="s">
        <v>1033</v>
      </c>
      <c r="JY22" s="23" t="s">
        <v>1034</v>
      </c>
      <c r="JZ22" s="23" t="s">
        <v>1035</v>
      </c>
      <c r="KA22" s="23" t="s">
        <v>1036</v>
      </c>
      <c r="KB22" s="23" t="s">
        <v>1037</v>
      </c>
      <c r="KC22" s="23" t="s">
        <v>1038</v>
      </c>
      <c r="KD22" s="23" t="s">
        <v>1039</v>
      </c>
      <c r="KE22" s="23" t="s">
        <v>1040</v>
      </c>
      <c r="KF22" s="23" t="s">
        <v>1041</v>
      </c>
      <c r="KG22" s="23" t="s">
        <v>1042</v>
      </c>
      <c r="KH22" s="23" t="s">
        <v>1043</v>
      </c>
      <c r="KI22" s="23" t="s">
        <v>1044</v>
      </c>
      <c r="KJ22" s="23" t="s">
        <v>1045</v>
      </c>
      <c r="KK22" s="23" t="s">
        <v>1046</v>
      </c>
      <c r="KL22" s="23" t="s">
        <v>1047</v>
      </c>
      <c r="KM22" s="23" t="s">
        <v>1048</v>
      </c>
      <c r="KN22" s="23" t="s">
        <v>1049</v>
      </c>
      <c r="KO22" s="23" t="s">
        <v>1050</v>
      </c>
      <c r="KP22" s="23" t="s">
        <v>1051</v>
      </c>
      <c r="KQ22" s="23" t="s">
        <v>1052</v>
      </c>
      <c r="KR22" s="23" t="s">
        <v>1053</v>
      </c>
      <c r="KS22" s="23" t="s">
        <v>1054</v>
      </c>
      <c r="KT22" s="23" t="s">
        <v>1055</v>
      </c>
      <c r="KU22" s="23" t="s">
        <v>1056</v>
      </c>
      <c r="KV22" s="23" t="s">
        <v>1057</v>
      </c>
      <c r="KW22" s="23" t="s">
        <v>1058</v>
      </c>
      <c r="KX22" s="23" t="s">
        <v>1059</v>
      </c>
      <c r="KY22" s="23" t="s">
        <v>1060</v>
      </c>
      <c r="KZ22" s="23" t="s">
        <v>1061</v>
      </c>
      <c r="LA22" s="23" t="s">
        <v>1062</v>
      </c>
      <c r="LB22" s="23" t="s">
        <v>1063</v>
      </c>
      <c r="LC22" s="23" t="s">
        <v>1064</v>
      </c>
      <c r="LD22" s="23" t="s">
        <v>1065</v>
      </c>
      <c r="LE22" s="23" t="s">
        <v>1066</v>
      </c>
      <c r="LF22" s="23" t="s">
        <v>1067</v>
      </c>
      <c r="LG22" s="23" t="s">
        <v>1068</v>
      </c>
      <c r="LH22" s="23" t="s">
        <v>1069</v>
      </c>
      <c r="LI22" s="23" t="s">
        <v>1070</v>
      </c>
      <c r="LJ22" s="23" t="s">
        <v>1071</v>
      </c>
      <c r="LK22" s="23" t="s">
        <v>1072</v>
      </c>
      <c r="LL22" s="23" t="s">
        <v>1073</v>
      </c>
      <c r="LM22" s="23" t="s">
        <v>1074</v>
      </c>
      <c r="LN22" s="23" t="s">
        <v>1075</v>
      </c>
      <c r="LO22" s="23" t="s">
        <v>1076</v>
      </c>
      <c r="LP22" s="23" t="s">
        <v>1077</v>
      </c>
      <c r="LQ22" s="23" t="s">
        <v>1078</v>
      </c>
      <c r="LR22" s="23" t="s">
        <v>1079</v>
      </c>
      <c r="LS22" s="23" t="s">
        <v>1080</v>
      </c>
      <c r="LT22" s="23" t="s">
        <v>1081</v>
      </c>
      <c r="LU22" s="23" t="s">
        <v>1082</v>
      </c>
      <c r="LV22" s="23" t="s">
        <v>1083</v>
      </c>
      <c r="LW22" s="23" t="s">
        <v>1084</v>
      </c>
      <c r="LX22" s="23" t="s">
        <v>1085</v>
      </c>
      <c r="LY22" s="23" t="s">
        <v>1086</v>
      </c>
      <c r="LZ22" s="23" t="s">
        <v>1087</v>
      </c>
      <c r="MA22" s="23" t="s">
        <v>1088</v>
      </c>
      <c r="MB22" s="23" t="s">
        <v>1089</v>
      </c>
      <c r="MC22" s="23" t="s">
        <v>1090</v>
      </c>
      <c r="MD22" s="23" t="s">
        <v>1091</v>
      </c>
      <c r="ME22" s="23" t="s">
        <v>1092</v>
      </c>
      <c r="MF22" s="23" t="s">
        <v>1093</v>
      </c>
      <c r="MG22" s="23" t="s">
        <v>1094</v>
      </c>
      <c r="MH22" s="23" t="s">
        <v>1095</v>
      </c>
      <c r="MI22" s="23" t="s">
        <v>1096</v>
      </c>
      <c r="MJ22" s="23" t="s">
        <v>1097</v>
      </c>
      <c r="MK22" s="23" t="s">
        <v>1098</v>
      </c>
      <c r="ML22" s="23" t="s">
        <v>1099</v>
      </c>
      <c r="MM22" s="23" t="s">
        <v>1100</v>
      </c>
      <c r="MN22" s="23" t="s">
        <v>1101</v>
      </c>
      <c r="MO22" s="23" t="s">
        <v>1102</v>
      </c>
      <c r="MP22" s="23" t="s">
        <v>1103</v>
      </c>
      <c r="MQ22" s="23" t="s">
        <v>1104</v>
      </c>
      <c r="MR22" s="23" t="s">
        <v>1105</v>
      </c>
      <c r="MS22" s="23" t="s">
        <v>1106</v>
      </c>
      <c r="MT22" s="23" t="s">
        <v>1107</v>
      </c>
      <c r="MU22" s="23" t="s">
        <v>1108</v>
      </c>
      <c r="MV22" s="23" t="s">
        <v>1109</v>
      </c>
      <c r="MW22" s="23" t="s">
        <v>1110</v>
      </c>
      <c r="MX22" s="23" t="s">
        <v>1111</v>
      </c>
      <c r="MY22" s="23" t="s">
        <v>1112</v>
      </c>
      <c r="MZ22" s="23" t="s">
        <v>1113</v>
      </c>
      <c r="NA22" s="23" t="s">
        <v>1114</v>
      </c>
      <c r="NB22" s="23" t="s">
        <v>1115</v>
      </c>
      <c r="NC22" s="23" t="s">
        <v>1116</v>
      </c>
      <c r="ND22" s="23" t="s">
        <v>1117</v>
      </c>
      <c r="NE22" s="23" t="s">
        <v>1118</v>
      </c>
      <c r="NF22" s="23" t="s">
        <v>1119</v>
      </c>
      <c r="NG22" s="23" t="s">
        <v>1120</v>
      </c>
      <c r="NH22" s="23" t="s">
        <v>1121</v>
      </c>
      <c r="NI22" s="23" t="s">
        <v>1122</v>
      </c>
      <c r="NJ22" s="23" t="s">
        <v>1123</v>
      </c>
      <c r="NK22" s="23" t="s">
        <v>1124</v>
      </c>
      <c r="NL22" s="23" t="s">
        <v>1125</v>
      </c>
      <c r="NM22" s="23" t="s">
        <v>1126</v>
      </c>
      <c r="NN22" s="23" t="s">
        <v>1127</v>
      </c>
      <c r="NO22" s="23" t="s">
        <v>1128</v>
      </c>
      <c r="NP22" s="23" t="s">
        <v>1129</v>
      </c>
      <c r="NQ22" s="23" t="s">
        <v>1130</v>
      </c>
      <c r="NR22" s="23" t="s">
        <v>1131</v>
      </c>
      <c r="NS22" s="23" t="s">
        <v>1132</v>
      </c>
      <c r="NT22" s="23" t="s">
        <v>1133</v>
      </c>
      <c r="NU22" s="23" t="s">
        <v>1134</v>
      </c>
      <c r="NV22" s="23" t="s">
        <v>1135</v>
      </c>
      <c r="NW22" s="23" t="s">
        <v>1136</v>
      </c>
      <c r="NX22" s="23" t="s">
        <v>1137</v>
      </c>
      <c r="NY22" s="23" t="s">
        <v>1138</v>
      </c>
      <c r="NZ22" s="23" t="s">
        <v>1139</v>
      </c>
      <c r="OA22" s="23" t="s">
        <v>1140</v>
      </c>
      <c r="OB22" s="23" t="s">
        <v>1141</v>
      </c>
      <c r="OC22" s="23" t="s">
        <v>1142</v>
      </c>
      <c r="OD22" s="23" t="s">
        <v>1143</v>
      </c>
      <c r="OE22" s="23" t="s">
        <v>1144</v>
      </c>
      <c r="OF22" s="23" t="s">
        <v>1145</v>
      </c>
      <c r="OG22" s="23" t="s">
        <v>1146</v>
      </c>
      <c r="OH22" s="23" t="s">
        <v>1147</v>
      </c>
      <c r="OI22" s="23" t="s">
        <v>1148</v>
      </c>
      <c r="OJ22" s="23" t="s">
        <v>1149</v>
      </c>
      <c r="OK22" s="23" t="s">
        <v>1150</v>
      </c>
      <c r="OL22" s="23" t="s">
        <v>1151</v>
      </c>
      <c r="OM22" s="23" t="s">
        <v>1152</v>
      </c>
      <c r="ON22" s="23" t="s">
        <v>1153</v>
      </c>
      <c r="OO22" s="23" t="s">
        <v>1154</v>
      </c>
      <c r="OP22" s="23" t="s">
        <v>1155</v>
      </c>
      <c r="OQ22" s="23" t="s">
        <v>1156</v>
      </c>
      <c r="OR22" s="23" t="s">
        <v>1157</v>
      </c>
      <c r="OS22" s="23" t="s">
        <v>1158</v>
      </c>
      <c r="OT22" s="23" t="s">
        <v>1159</v>
      </c>
      <c r="OU22" s="23" t="s">
        <v>1160</v>
      </c>
      <c r="OV22" s="23" t="s">
        <v>1161</v>
      </c>
      <c r="OW22" s="23" t="s">
        <v>1162</v>
      </c>
      <c r="OX22" s="23" t="s">
        <v>1163</v>
      </c>
      <c r="OY22" s="23" t="s">
        <v>1164</v>
      </c>
      <c r="OZ22" s="23" t="s">
        <v>1165</v>
      </c>
      <c r="PA22" s="23" t="s">
        <v>1166</v>
      </c>
      <c r="PB22" s="23" t="s">
        <v>1167</v>
      </c>
      <c r="PC22" s="23" t="s">
        <v>1168</v>
      </c>
      <c r="PD22" s="23" t="s">
        <v>1169</v>
      </c>
      <c r="PE22" s="23" t="s">
        <v>1170</v>
      </c>
      <c r="PF22" s="23" t="s">
        <v>1171</v>
      </c>
      <c r="PG22" s="23" t="s">
        <v>1172</v>
      </c>
      <c r="PH22" s="23" t="s">
        <v>1173</v>
      </c>
      <c r="PI22" s="23" t="s">
        <v>1174</v>
      </c>
      <c r="PJ22" s="23" t="s">
        <v>1175</v>
      </c>
      <c r="PK22" s="23" t="s">
        <v>1176</v>
      </c>
      <c r="PL22" s="23" t="s">
        <v>1177</v>
      </c>
      <c r="PM22" s="23" t="s">
        <v>1178</v>
      </c>
      <c r="PN22" s="23" t="s">
        <v>1179</v>
      </c>
      <c r="PO22" s="23" t="s">
        <v>1180</v>
      </c>
      <c r="PP22" s="23" t="s">
        <v>1181</v>
      </c>
      <c r="PQ22" s="23" t="s">
        <v>1182</v>
      </c>
      <c r="PR22" s="23" t="s">
        <v>1183</v>
      </c>
      <c r="PS22" s="23" t="s">
        <v>1184</v>
      </c>
      <c r="PT22" s="23" t="s">
        <v>1185</v>
      </c>
      <c r="PU22" s="23" t="s">
        <v>1186</v>
      </c>
      <c r="PV22" s="23" t="s">
        <v>1187</v>
      </c>
      <c r="PW22" s="23" t="s">
        <v>1188</v>
      </c>
      <c r="PX22" s="23" t="s">
        <v>1189</v>
      </c>
      <c r="PY22" s="23" t="s">
        <v>1190</v>
      </c>
      <c r="PZ22" s="23" t="s">
        <v>1191</v>
      </c>
      <c r="QA22" s="23" t="s">
        <v>1192</v>
      </c>
      <c r="QB22" s="23" t="s">
        <v>1193</v>
      </c>
      <c r="QC22" s="23" t="s">
        <v>1194</v>
      </c>
      <c r="QD22" s="23" t="s">
        <v>1195</v>
      </c>
      <c r="QE22" s="23" t="s">
        <v>1196</v>
      </c>
      <c r="QF22" s="23" t="s">
        <v>1197</v>
      </c>
      <c r="QG22" s="23" t="s">
        <v>1198</v>
      </c>
      <c r="QH22" s="23" t="s">
        <v>1199</v>
      </c>
      <c r="QI22" s="23" t="s">
        <v>1200</v>
      </c>
      <c r="QJ22" s="23" t="s">
        <v>1201</v>
      </c>
      <c r="QK22" s="23" t="s">
        <v>1202</v>
      </c>
      <c r="QL22" s="23" t="s">
        <v>1203</v>
      </c>
      <c r="QM22" s="23" t="s">
        <v>1204</v>
      </c>
      <c r="QN22" s="23" t="s">
        <v>1205</v>
      </c>
      <c r="QO22" s="23" t="s">
        <v>1206</v>
      </c>
      <c r="QP22" s="23" t="s">
        <v>1207</v>
      </c>
      <c r="QQ22" s="23" t="s">
        <v>1663</v>
      </c>
      <c r="QR22" s="23" t="s">
        <v>1664</v>
      </c>
      <c r="QS22" s="23" t="s">
        <v>1665</v>
      </c>
      <c r="QT22" s="23" t="s">
        <v>1666</v>
      </c>
      <c r="QU22" s="23" t="s">
        <v>1667</v>
      </c>
    </row>
    <row r="23" spans="2:471" ht="15.95" customHeight="1" x14ac:dyDescent="0.25">
      <c r="B23" s="3"/>
      <c r="C23" s="241" t="s">
        <v>5</v>
      </c>
      <c r="D23" s="242"/>
      <c r="E23" s="242"/>
      <c r="F23" s="242"/>
      <c r="G23" s="242"/>
      <c r="H23" s="348"/>
      <c r="I23" s="348"/>
      <c r="J23" s="348"/>
      <c r="K23" s="348"/>
      <c r="L23" s="348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2"/>
    </row>
    <row r="24" spans="2:471" ht="35.1" customHeight="1" x14ac:dyDescent="0.25">
      <c r="B24" s="3">
        <v>1</v>
      </c>
      <c r="C24" s="218" t="s">
        <v>2</v>
      </c>
      <c r="D24" s="218"/>
      <c r="E24" s="218"/>
      <c r="F24" s="218"/>
      <c r="G24" s="218"/>
      <c r="H24" s="16"/>
      <c r="I24" s="16"/>
      <c r="J24" s="16"/>
      <c r="K24" s="16"/>
      <c r="L24" s="16"/>
      <c r="M24" s="53" t="s">
        <v>1660</v>
      </c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2"/>
      <c r="CI24" s="52"/>
      <c r="CJ24" s="52"/>
      <c r="CK24" s="52"/>
      <c r="CL24" s="52"/>
      <c r="CM24" s="52"/>
      <c r="CN24" s="52"/>
      <c r="CO24" s="52"/>
      <c r="CP24" s="52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  <c r="DJ24" s="52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2"/>
      <c r="DX24" s="52"/>
      <c r="DY24" s="52"/>
      <c r="DZ24" s="52"/>
      <c r="EA24" s="52"/>
      <c r="EB24" s="52"/>
      <c r="EC24" s="52"/>
      <c r="ED24" s="52"/>
      <c r="EE24" s="52"/>
      <c r="EF24" s="52"/>
      <c r="EG24" s="52"/>
      <c r="EH24" s="52"/>
      <c r="EI24" s="52"/>
      <c r="EJ24" s="52"/>
      <c r="EK24" s="52"/>
      <c r="EL24" s="52"/>
      <c r="EM24" s="52"/>
      <c r="EN24" s="52"/>
      <c r="EO24" s="53"/>
      <c r="EP24" s="52"/>
      <c r="EQ24" s="52"/>
      <c r="ER24" s="52"/>
      <c r="ES24" s="53"/>
      <c r="ET24" s="52"/>
      <c r="EU24" s="52"/>
      <c r="EV24" s="52"/>
      <c r="EW24" s="52"/>
      <c r="EX24" s="52"/>
      <c r="EY24" s="52"/>
      <c r="EZ24" s="52"/>
      <c r="FA24" s="53"/>
      <c r="FB24" s="52"/>
      <c r="FC24" s="53"/>
      <c r="FD24" s="52"/>
      <c r="FE24" s="52"/>
      <c r="FF24" s="52"/>
      <c r="FG24" s="52"/>
      <c r="FH24" s="52"/>
      <c r="FI24" s="52"/>
      <c r="FJ24" s="52"/>
      <c r="FK24" s="52"/>
      <c r="FL24" s="52"/>
      <c r="FM24" s="52"/>
      <c r="FN24" s="52"/>
      <c r="FO24" s="52"/>
      <c r="FP24" s="52"/>
      <c r="FQ24" s="52"/>
      <c r="FR24" s="53" t="s">
        <v>1698</v>
      </c>
      <c r="FS24" s="53"/>
      <c r="FT24" s="53"/>
      <c r="FU24" s="53"/>
      <c r="FV24" s="53"/>
      <c r="FW24" s="53"/>
      <c r="FX24" s="53"/>
      <c r="FY24" s="53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 t="s">
        <v>1762</v>
      </c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IZ24" s="19"/>
      <c r="JA24" s="19"/>
      <c r="JB24" s="19"/>
      <c r="JC24" s="19"/>
      <c r="JD24" s="19"/>
      <c r="JE24" s="19"/>
      <c r="JF24" s="19"/>
      <c r="JG24" s="19"/>
      <c r="JH24" s="19"/>
      <c r="JI24" s="19"/>
      <c r="JJ24" s="19"/>
      <c r="JK24" s="19"/>
      <c r="JL24" s="19"/>
      <c r="JM24" s="19"/>
      <c r="JN24" s="19"/>
      <c r="JO24" s="19"/>
      <c r="JP24" s="19"/>
      <c r="JQ24" s="19"/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23"/>
      <c r="KP24" s="19"/>
      <c r="KQ24" s="19"/>
      <c r="KR24" s="19"/>
      <c r="KS24" s="19"/>
      <c r="KT24" s="19"/>
      <c r="KU24" s="19"/>
      <c r="KV24" s="19"/>
      <c r="KW24" s="19"/>
      <c r="KX24" s="19"/>
      <c r="KY24" s="19"/>
      <c r="KZ24" s="19"/>
      <c r="LA24" s="19"/>
      <c r="LB24" s="19"/>
      <c r="LC24" s="19"/>
      <c r="LD24" s="19"/>
      <c r="LE24" s="19"/>
      <c r="LF24" s="19"/>
      <c r="LG24" s="19"/>
      <c r="LH24" s="19"/>
      <c r="LI24" s="19"/>
      <c r="LJ24" s="19"/>
      <c r="LK24" s="19"/>
      <c r="LL24" s="19"/>
      <c r="LM24" s="19"/>
      <c r="LN24" s="19"/>
      <c r="LO24" s="19"/>
      <c r="LP24" s="19"/>
      <c r="LQ24" s="19"/>
      <c r="LR24" s="19"/>
      <c r="LS24" s="19"/>
      <c r="LT24" s="19"/>
      <c r="LU24" s="19"/>
      <c r="LV24" s="19"/>
      <c r="LW24" s="19"/>
      <c r="LX24" s="19"/>
      <c r="LY24" s="19"/>
      <c r="LZ24" s="19"/>
      <c r="MA24" s="19"/>
      <c r="MB24" s="19"/>
      <c r="MC24" s="19"/>
      <c r="MD24" s="19"/>
      <c r="ME24" s="19"/>
      <c r="MF24" s="19"/>
      <c r="MG24" s="19"/>
      <c r="MH24" s="19"/>
      <c r="MI24" s="19"/>
      <c r="MJ24" s="19"/>
      <c r="MK24" s="19"/>
      <c r="ML24" s="19"/>
      <c r="MM24" s="19"/>
      <c r="MN24" s="19"/>
      <c r="MO24" s="19"/>
      <c r="MP24" s="19"/>
      <c r="MQ24" s="19"/>
      <c r="MR24" s="19"/>
      <c r="MS24" s="19"/>
      <c r="MT24" s="19"/>
      <c r="MU24" s="19"/>
      <c r="MV24" s="19"/>
      <c r="MW24" s="19"/>
      <c r="MX24" s="19"/>
      <c r="MY24" s="19"/>
      <c r="MZ24" s="19"/>
      <c r="NA24" s="19"/>
      <c r="NB24" s="19"/>
      <c r="NC24" s="19"/>
      <c r="ND24" s="19"/>
      <c r="NE24" s="19"/>
      <c r="NF24" s="19"/>
      <c r="NG24" s="19"/>
      <c r="NH24" s="19"/>
      <c r="NI24" s="19"/>
      <c r="NJ24" s="19"/>
      <c r="NK24" s="19"/>
      <c r="NL24" s="19"/>
      <c r="NM24" s="19"/>
      <c r="NN24" s="19"/>
      <c r="NO24" s="19"/>
      <c r="NP24" s="19"/>
      <c r="NQ24" s="19"/>
      <c r="NR24" s="19"/>
      <c r="NS24" s="19"/>
      <c r="NT24" s="19"/>
      <c r="NU24" s="19"/>
      <c r="NV24" s="19"/>
      <c r="NW24" s="19"/>
      <c r="NX24" s="19"/>
      <c r="NY24" s="19"/>
      <c r="NZ24" s="19"/>
      <c r="OA24" s="19"/>
      <c r="OB24" s="19"/>
      <c r="OC24" s="19"/>
      <c r="OD24" s="19"/>
      <c r="OE24" s="19"/>
      <c r="OF24" s="19"/>
      <c r="OG24" s="19"/>
      <c r="OH24" s="19"/>
      <c r="OI24" s="19"/>
      <c r="OJ24" s="19"/>
      <c r="OK24" s="19"/>
      <c r="OL24" s="19"/>
      <c r="OM24" s="19"/>
      <c r="ON24" s="19"/>
      <c r="OO24" s="19"/>
      <c r="OP24" s="19"/>
      <c r="OQ24" s="19"/>
      <c r="OR24" s="19"/>
      <c r="OS24" s="19"/>
      <c r="OT24" s="19"/>
      <c r="OU24" s="19"/>
      <c r="OV24" s="19"/>
      <c r="OW24" s="19"/>
      <c r="OX24" s="19"/>
      <c r="OY24" s="19"/>
      <c r="OZ24" s="19"/>
      <c r="PA24" s="19"/>
      <c r="PB24" s="19"/>
      <c r="PC24" s="19"/>
      <c r="PD24" s="19"/>
      <c r="PE24" s="19"/>
      <c r="PF24" s="19"/>
      <c r="PG24" s="19"/>
      <c r="PH24" s="19"/>
      <c r="PI24" s="19"/>
      <c r="PJ24" s="19"/>
      <c r="PK24" s="19"/>
      <c r="PL24" s="19"/>
      <c r="PM24" s="19"/>
      <c r="PN24" s="19"/>
      <c r="PO24" s="19"/>
      <c r="PP24" s="19"/>
      <c r="PQ24" s="19"/>
      <c r="PR24" s="19"/>
      <c r="PS24" s="19"/>
      <c r="PT24" s="19"/>
      <c r="PU24" s="19"/>
      <c r="PV24" s="19"/>
      <c r="PW24" s="19"/>
      <c r="PX24" s="19"/>
      <c r="PY24" s="19"/>
      <c r="PZ24" s="19"/>
      <c r="QA24" s="19"/>
      <c r="QB24" s="19"/>
      <c r="QC24" s="19"/>
      <c r="QD24" s="19"/>
      <c r="QE24" s="19"/>
      <c r="QF24" s="19"/>
      <c r="QG24" s="19"/>
      <c r="QH24" s="19"/>
      <c r="QI24" s="19"/>
      <c r="QJ24" s="19"/>
      <c r="QK24" s="19"/>
      <c r="QL24" s="19"/>
      <c r="QM24" s="19"/>
      <c r="QN24" s="19"/>
      <c r="QO24" s="19"/>
      <c r="QP24" s="19"/>
      <c r="QQ24" s="19"/>
      <c r="QR24" s="19"/>
      <c r="QS24" s="19"/>
      <c r="QT24" s="19"/>
      <c r="QU24" s="19"/>
    </row>
    <row r="25" spans="2:471" ht="35.1" customHeight="1" x14ac:dyDescent="0.25">
      <c r="B25" s="3">
        <v>2</v>
      </c>
      <c r="C25" s="218" t="s">
        <v>3</v>
      </c>
      <c r="D25" s="218"/>
      <c r="E25" s="218"/>
      <c r="F25" s="218"/>
      <c r="G25" s="218"/>
      <c r="H25" s="15"/>
      <c r="I25" s="15"/>
      <c r="J25" s="15"/>
      <c r="K25" s="15"/>
      <c r="L25" s="15"/>
      <c r="M25" s="35" t="s">
        <v>1660</v>
      </c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 t="s">
        <v>852</v>
      </c>
      <c r="CY25" s="35"/>
      <c r="CZ25" s="35"/>
      <c r="DA25" s="35"/>
      <c r="DB25" s="35"/>
      <c r="DC25" s="35"/>
      <c r="DD25" s="35"/>
      <c r="DE25" s="35"/>
      <c r="DF25" s="35"/>
      <c r="DG25" s="35" t="s">
        <v>860</v>
      </c>
      <c r="DH25" s="35"/>
      <c r="DI25" s="35"/>
      <c r="DJ25" s="35"/>
      <c r="DK25" s="35" t="s">
        <v>864</v>
      </c>
      <c r="DL25" s="35"/>
      <c r="DM25" s="35"/>
      <c r="DN25" s="35"/>
      <c r="DO25" s="35"/>
      <c r="DP25" s="35"/>
      <c r="DQ25" s="35" t="s">
        <v>870</v>
      </c>
      <c r="DR25" s="35"/>
      <c r="DS25" s="35"/>
      <c r="DT25" s="35"/>
      <c r="DU25" s="35"/>
      <c r="DV25" s="35"/>
      <c r="DW25" s="35"/>
      <c r="DX25" s="35"/>
      <c r="DY25" s="35" t="s">
        <v>878</v>
      </c>
      <c r="DZ25" s="35"/>
      <c r="EA25" s="35" t="s">
        <v>880</v>
      </c>
      <c r="EB25" s="35"/>
      <c r="EC25" s="35"/>
      <c r="ED25" s="35"/>
      <c r="EE25" s="35"/>
      <c r="EF25" s="35"/>
      <c r="EG25" s="35"/>
      <c r="EH25" s="35"/>
      <c r="EI25" s="35" t="s">
        <v>888</v>
      </c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 t="s">
        <v>902</v>
      </c>
      <c r="EX25" s="35"/>
      <c r="EY25" s="35"/>
      <c r="EZ25" s="35"/>
      <c r="FA25" s="35" t="s">
        <v>1716</v>
      </c>
      <c r="FB25" s="35"/>
      <c r="FC25" s="35"/>
      <c r="FD25" s="35"/>
      <c r="FE25" s="35"/>
      <c r="FF25" s="35"/>
      <c r="FG25" s="35"/>
      <c r="FH25" s="35"/>
      <c r="FI25" s="35"/>
      <c r="FJ25" s="35"/>
      <c r="FK25" s="35" t="s">
        <v>916</v>
      </c>
      <c r="FL25" s="35"/>
      <c r="FM25" s="35"/>
      <c r="FN25" s="35"/>
      <c r="FO25" s="35"/>
      <c r="FP25" s="35"/>
      <c r="FQ25" s="35"/>
      <c r="FR25" s="35" t="s">
        <v>923</v>
      </c>
      <c r="FS25" s="19"/>
      <c r="FT25" s="23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19"/>
      <c r="IV25" s="19"/>
      <c r="IW25" s="19"/>
      <c r="IX25" s="19"/>
      <c r="IY25" s="19"/>
      <c r="IZ25" s="19"/>
      <c r="JA25" s="23"/>
      <c r="JB25" s="19"/>
      <c r="JC25" s="19"/>
      <c r="JD25" s="19"/>
      <c r="JE25" s="19"/>
      <c r="JF25" s="19"/>
      <c r="JG25" s="19"/>
      <c r="JH25" s="19"/>
      <c r="JI25" s="19"/>
      <c r="JJ25" s="19"/>
      <c r="JK25" s="19"/>
      <c r="JL25" s="19"/>
      <c r="JM25" s="19"/>
      <c r="JN25" s="19"/>
      <c r="JO25" s="19"/>
      <c r="JP25" s="19"/>
      <c r="JQ25" s="19"/>
      <c r="JR25" s="19"/>
      <c r="JS25" s="19"/>
      <c r="JT25" s="19"/>
      <c r="JU25" s="19"/>
      <c r="JV25" s="19"/>
      <c r="JW25" s="19"/>
      <c r="JX25" s="19"/>
      <c r="JY25" s="19"/>
      <c r="JZ25" s="19"/>
      <c r="KA25" s="19"/>
      <c r="KB25" s="19"/>
      <c r="KC25" s="19"/>
      <c r="KD25" s="19"/>
      <c r="KE25" s="19"/>
      <c r="KF25" s="19"/>
      <c r="KG25" s="19"/>
      <c r="KH25" s="19"/>
      <c r="KI25" s="19"/>
      <c r="KJ25" s="19"/>
      <c r="KK25" s="19"/>
      <c r="KL25" s="19"/>
      <c r="KM25" s="19"/>
      <c r="KN25" s="19"/>
      <c r="KO25" s="19"/>
      <c r="KP25" s="19"/>
      <c r="KQ25" s="19"/>
      <c r="KR25" s="19"/>
      <c r="KS25" s="19"/>
      <c r="KT25" s="19"/>
      <c r="KU25" s="19"/>
      <c r="KV25" s="19"/>
      <c r="KW25" s="19"/>
      <c r="KX25" s="19"/>
      <c r="KY25" s="19"/>
      <c r="KZ25" s="19"/>
      <c r="LA25" s="19"/>
      <c r="LB25" s="19"/>
      <c r="LC25" s="19"/>
      <c r="LD25" s="19"/>
      <c r="LE25" s="19"/>
      <c r="LF25" s="19"/>
      <c r="LG25" s="19"/>
      <c r="LH25" s="19"/>
      <c r="LI25" s="19"/>
      <c r="LJ25" s="19"/>
      <c r="LK25" s="19"/>
      <c r="LL25" s="19"/>
      <c r="LM25" s="19"/>
      <c r="LN25" s="19"/>
      <c r="LO25" s="19"/>
      <c r="LP25" s="19"/>
      <c r="LQ25" s="19"/>
      <c r="LR25" s="19"/>
      <c r="LS25" s="19"/>
      <c r="LT25" s="19"/>
      <c r="LU25" s="19"/>
      <c r="LV25" s="19"/>
      <c r="LW25" s="19"/>
      <c r="LX25" s="19"/>
      <c r="LY25" s="19"/>
      <c r="LZ25" s="19"/>
      <c r="MA25" s="19"/>
      <c r="MB25" s="19"/>
      <c r="MC25" s="19"/>
      <c r="MD25" s="19"/>
      <c r="ME25" s="19"/>
      <c r="MF25" s="19"/>
      <c r="MG25" s="19"/>
      <c r="MH25" s="19"/>
      <c r="MI25" s="19"/>
      <c r="MJ25" s="19"/>
      <c r="MK25" s="19"/>
      <c r="ML25" s="19"/>
      <c r="MM25" s="19"/>
      <c r="MN25" s="19"/>
      <c r="MO25" s="19"/>
      <c r="MP25" s="19"/>
      <c r="MQ25" s="19"/>
      <c r="MR25" s="19"/>
      <c r="MS25" s="19"/>
      <c r="MT25" s="19"/>
      <c r="MU25" s="19"/>
      <c r="MV25" s="19"/>
      <c r="MW25" s="19"/>
      <c r="MX25" s="19"/>
      <c r="MY25" s="19"/>
      <c r="MZ25" s="19"/>
      <c r="NA25" s="19"/>
      <c r="NB25" s="19"/>
      <c r="NC25" s="19"/>
      <c r="ND25" s="19"/>
      <c r="NE25" s="19"/>
      <c r="NF25" s="19"/>
      <c r="NG25" s="19"/>
      <c r="NH25" s="19"/>
      <c r="NI25" s="19"/>
      <c r="NJ25" s="19"/>
      <c r="NK25" s="19"/>
      <c r="NL25" s="19"/>
      <c r="NM25" s="19"/>
      <c r="NN25" s="19"/>
      <c r="NO25" s="19"/>
      <c r="NP25" s="19"/>
      <c r="NQ25" s="19"/>
      <c r="NR25" s="19"/>
      <c r="NS25" s="19"/>
      <c r="NT25" s="19"/>
      <c r="NU25" s="19"/>
      <c r="NV25" s="19"/>
      <c r="NW25" s="19"/>
      <c r="NX25" s="19"/>
      <c r="NY25" s="19"/>
      <c r="NZ25" s="19"/>
      <c r="OA25" s="19"/>
      <c r="OB25" s="19"/>
      <c r="OC25" s="19"/>
      <c r="OD25" s="19"/>
      <c r="OE25" s="19"/>
      <c r="OF25" s="19"/>
      <c r="OG25" s="19"/>
      <c r="OH25" s="19"/>
      <c r="OI25" s="19"/>
      <c r="OJ25" s="19"/>
      <c r="OK25" s="19"/>
      <c r="OL25" s="19"/>
      <c r="OM25" s="19"/>
      <c r="ON25" s="19"/>
      <c r="OO25" s="19"/>
      <c r="OP25" s="19"/>
      <c r="OQ25" s="19"/>
      <c r="OR25" s="19"/>
      <c r="OS25" s="19"/>
      <c r="OT25" s="19"/>
      <c r="OU25" s="19"/>
      <c r="OV25" s="19"/>
      <c r="OW25" s="19"/>
      <c r="OX25" s="19"/>
      <c r="OY25" s="19"/>
      <c r="OZ25" s="19"/>
      <c r="PA25" s="19"/>
      <c r="PB25" s="19"/>
      <c r="PC25" s="19"/>
      <c r="PD25" s="19"/>
      <c r="PE25" s="19"/>
      <c r="PF25" s="19"/>
      <c r="PG25" s="19"/>
      <c r="PH25" s="19"/>
      <c r="PI25" s="19"/>
      <c r="PJ25" s="19"/>
      <c r="PK25" s="19"/>
      <c r="PL25" s="19"/>
      <c r="PM25" s="19"/>
      <c r="PN25" s="19"/>
      <c r="PO25" s="19"/>
      <c r="PP25" s="19"/>
      <c r="PQ25" s="19"/>
      <c r="PR25" s="19"/>
      <c r="PS25" s="19"/>
      <c r="PT25" s="19"/>
      <c r="PU25" s="19"/>
      <c r="PV25" s="19"/>
      <c r="PW25" s="19"/>
      <c r="PX25" s="19"/>
      <c r="PY25" s="19"/>
      <c r="PZ25" s="19"/>
      <c r="QA25" s="19"/>
      <c r="QB25" s="19"/>
      <c r="QC25" s="19"/>
      <c r="QD25" s="19"/>
      <c r="QE25" s="19"/>
      <c r="QF25" s="19"/>
      <c r="QG25" s="19"/>
      <c r="QH25" s="19"/>
      <c r="QI25" s="19"/>
      <c r="QJ25" s="19"/>
      <c r="QK25" s="19"/>
      <c r="QL25" s="19"/>
      <c r="QM25" s="19"/>
      <c r="QN25" s="19"/>
      <c r="QO25" s="19"/>
      <c r="QP25" s="19"/>
      <c r="QQ25" s="19"/>
      <c r="QR25" s="19"/>
      <c r="QS25" s="19"/>
      <c r="QT25" s="19"/>
      <c r="QU25" s="19"/>
    </row>
    <row r="26" spans="2:471" ht="35.1" customHeight="1" x14ac:dyDescent="0.25">
      <c r="B26" s="3">
        <v>3</v>
      </c>
      <c r="C26" s="218" t="s">
        <v>4</v>
      </c>
      <c r="D26" s="218"/>
      <c r="E26" s="218"/>
      <c r="F26" s="218"/>
      <c r="G26" s="218"/>
      <c r="H26" s="15"/>
      <c r="I26" s="15"/>
      <c r="J26" s="15"/>
      <c r="K26" s="15"/>
      <c r="L26" s="15"/>
      <c r="M26" s="56" t="s">
        <v>1660</v>
      </c>
      <c r="N26" s="56"/>
      <c r="O26" s="56"/>
      <c r="P26" s="56"/>
      <c r="Q26" s="56"/>
      <c r="R26" s="56"/>
      <c r="S26" s="56"/>
      <c r="T26" s="56"/>
      <c r="U26" s="56"/>
      <c r="V26" s="56" t="s">
        <v>1740</v>
      </c>
      <c r="W26" s="56"/>
      <c r="X26" s="56"/>
      <c r="Y26" s="56"/>
      <c r="Z26" s="56"/>
      <c r="AA26" s="56"/>
      <c r="AB26" s="56" t="s">
        <v>1739</v>
      </c>
      <c r="AC26" s="56"/>
      <c r="AD26" s="56"/>
      <c r="AE26" s="56"/>
      <c r="AF26" s="56"/>
      <c r="AG26" s="56"/>
      <c r="AH26" s="56"/>
      <c r="AI26" s="56" t="s">
        <v>1661</v>
      </c>
      <c r="AJ26" s="56"/>
      <c r="AK26" s="56"/>
      <c r="AL26" s="56"/>
      <c r="AM26" s="56"/>
      <c r="AN26" s="56"/>
      <c r="AO26" s="56"/>
      <c r="AP26" s="56"/>
      <c r="AQ26" s="56" t="s">
        <v>1662</v>
      </c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56"/>
      <c r="CX26" s="56"/>
      <c r="CY26" s="56"/>
      <c r="CZ26" s="56"/>
      <c r="DA26" s="56"/>
      <c r="DB26" s="56"/>
      <c r="DC26" s="56"/>
      <c r="DD26" s="56"/>
      <c r="DE26" s="56"/>
      <c r="DF26" s="56"/>
      <c r="DG26" s="56"/>
      <c r="DH26" s="56"/>
      <c r="DI26" s="56"/>
      <c r="DJ26" s="56"/>
      <c r="DK26" s="56"/>
      <c r="DL26" s="56"/>
      <c r="DM26" s="56"/>
      <c r="DN26" s="56"/>
      <c r="DO26" s="56"/>
      <c r="DP26" s="56"/>
      <c r="DQ26" s="56"/>
      <c r="DR26" s="56"/>
      <c r="DS26" s="56"/>
      <c r="DT26" s="56"/>
      <c r="DU26" s="56"/>
      <c r="DV26" s="56"/>
      <c r="DW26" s="56"/>
      <c r="DX26" s="56"/>
      <c r="DY26" s="56"/>
      <c r="DZ26" s="56"/>
      <c r="EA26" s="56"/>
      <c r="EB26" s="56"/>
      <c r="EC26" s="56"/>
      <c r="ED26" s="56"/>
      <c r="EE26" s="56"/>
      <c r="EF26" s="56"/>
      <c r="EG26" s="56"/>
      <c r="EH26" s="56"/>
      <c r="EI26" s="56"/>
      <c r="EJ26" s="56"/>
      <c r="EK26" s="56" t="s">
        <v>1749</v>
      </c>
      <c r="EL26" s="56"/>
      <c r="EM26" s="56"/>
      <c r="EN26" s="56"/>
      <c r="EO26" s="56"/>
      <c r="EP26" s="56"/>
      <c r="EQ26" s="56"/>
      <c r="ER26" s="56"/>
      <c r="ES26" s="56"/>
      <c r="ET26" s="56"/>
      <c r="EU26" s="56"/>
      <c r="EV26" s="56"/>
      <c r="EW26" s="56"/>
      <c r="EX26" s="56"/>
      <c r="EY26" s="56"/>
      <c r="EZ26" s="56"/>
      <c r="FA26" s="56"/>
      <c r="FB26" s="56"/>
      <c r="FC26" s="56"/>
      <c r="FD26" s="56"/>
      <c r="FE26" s="56"/>
      <c r="FF26" s="56"/>
      <c r="FG26" s="56"/>
      <c r="FH26" s="56"/>
      <c r="FI26" s="56"/>
      <c r="FJ26" s="56"/>
      <c r="FK26" s="56"/>
      <c r="FL26" s="56"/>
      <c r="FM26" s="56"/>
      <c r="FN26" s="56"/>
      <c r="FO26" s="56"/>
      <c r="FP26" s="56"/>
      <c r="FQ26" s="56"/>
      <c r="FR26" s="56" t="s">
        <v>1756</v>
      </c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19"/>
      <c r="IV26" s="19"/>
      <c r="IW26" s="19"/>
      <c r="IX26" s="19"/>
      <c r="IY26" s="19"/>
      <c r="IZ26" s="19"/>
      <c r="JA26" s="19"/>
      <c r="JB26" s="19"/>
      <c r="JC26" s="19"/>
      <c r="JD26" s="19"/>
      <c r="JE26" s="19"/>
      <c r="JF26" s="19"/>
      <c r="JG26" s="19"/>
      <c r="JH26" s="19"/>
      <c r="JI26" s="19"/>
      <c r="JJ26" s="19"/>
      <c r="JK26" s="19"/>
      <c r="JL26" s="19"/>
      <c r="JM26" s="19"/>
      <c r="JN26" s="19"/>
      <c r="JO26" s="19"/>
      <c r="JP26" s="19"/>
      <c r="JQ26" s="19"/>
      <c r="JR26" s="19"/>
      <c r="JS26" s="19"/>
      <c r="JT26" s="19"/>
      <c r="JU26" s="19"/>
      <c r="JV26" s="19"/>
      <c r="JW26" s="19"/>
      <c r="JX26" s="19"/>
      <c r="JY26" s="19"/>
      <c r="JZ26" s="19"/>
      <c r="KA26" s="19"/>
      <c r="KB26" s="19"/>
      <c r="KC26" s="19"/>
      <c r="KD26" s="19"/>
      <c r="KE26" s="19"/>
      <c r="KF26" s="19"/>
      <c r="KG26" s="19"/>
      <c r="KH26" s="19"/>
      <c r="KI26" s="19"/>
      <c r="KJ26" s="19"/>
      <c r="KK26" s="19"/>
      <c r="KL26" s="19"/>
      <c r="KM26" s="19"/>
      <c r="KN26" s="19"/>
      <c r="KO26" s="19"/>
      <c r="KP26" s="19"/>
      <c r="KQ26" s="19"/>
      <c r="KR26" s="19"/>
      <c r="KS26" s="19"/>
      <c r="KT26" s="19"/>
      <c r="KU26" s="19"/>
      <c r="KV26" s="19"/>
      <c r="KW26" s="19"/>
      <c r="KX26" s="19"/>
      <c r="KY26" s="19"/>
      <c r="KZ26" s="19"/>
      <c r="LA26" s="19"/>
      <c r="LB26" s="19"/>
      <c r="LC26" s="19"/>
      <c r="LD26" s="19"/>
      <c r="LE26" s="19"/>
      <c r="LF26" s="19"/>
      <c r="LG26" s="19"/>
      <c r="LH26" s="19"/>
      <c r="LI26" s="19"/>
      <c r="LJ26" s="19"/>
      <c r="LK26" s="19"/>
      <c r="LL26" s="19"/>
      <c r="LM26" s="19"/>
      <c r="LN26" s="19"/>
      <c r="LO26" s="19"/>
      <c r="LP26" s="19"/>
      <c r="LQ26" s="19"/>
      <c r="LR26" s="19"/>
      <c r="LS26" s="19"/>
      <c r="LT26" s="19"/>
      <c r="LU26" s="19"/>
      <c r="LV26" s="19"/>
      <c r="LW26" s="19"/>
      <c r="LX26" s="19"/>
      <c r="LY26" s="19"/>
      <c r="LZ26" s="19"/>
      <c r="MA26" s="19"/>
      <c r="MB26" s="19"/>
      <c r="MC26" s="19"/>
      <c r="MD26" s="19"/>
      <c r="ME26" s="19"/>
      <c r="MF26" s="19"/>
      <c r="MG26" s="19"/>
      <c r="MH26" s="19"/>
      <c r="MI26" s="19"/>
      <c r="MJ26" s="19"/>
      <c r="MK26" s="19"/>
      <c r="ML26" s="19"/>
      <c r="MM26" s="19"/>
      <c r="MN26" s="19"/>
      <c r="MO26" s="19"/>
      <c r="MP26" s="19"/>
      <c r="MQ26" s="19"/>
      <c r="MR26" s="19"/>
      <c r="MS26" s="19"/>
      <c r="MT26" s="19"/>
      <c r="MU26" s="19"/>
      <c r="MV26" s="19"/>
      <c r="MW26" s="19"/>
      <c r="MX26" s="19"/>
      <c r="MY26" s="19"/>
      <c r="MZ26" s="19"/>
      <c r="NA26" s="19"/>
      <c r="NB26" s="19"/>
      <c r="NC26" s="19"/>
      <c r="ND26" s="19"/>
      <c r="NE26" s="19"/>
      <c r="NF26" s="19"/>
      <c r="NG26" s="19"/>
      <c r="NH26" s="19"/>
      <c r="NI26" s="19"/>
      <c r="NJ26" s="19"/>
      <c r="NK26" s="19"/>
      <c r="NL26" s="19"/>
      <c r="NM26" s="19"/>
      <c r="NN26" s="19"/>
      <c r="NO26" s="19"/>
      <c r="NP26" s="19"/>
      <c r="NQ26" s="19"/>
      <c r="NR26" s="19"/>
      <c r="NS26" s="19"/>
      <c r="NT26" s="19"/>
      <c r="NU26" s="19"/>
      <c r="NV26" s="19"/>
      <c r="NW26" s="19"/>
      <c r="NX26" s="19"/>
      <c r="NY26" s="19"/>
      <c r="NZ26" s="19"/>
      <c r="OA26" s="19"/>
      <c r="OB26" s="19"/>
      <c r="OC26" s="19"/>
      <c r="OD26" s="19"/>
      <c r="OE26" s="19"/>
      <c r="OF26" s="19"/>
      <c r="OG26" s="19"/>
      <c r="OH26" s="19"/>
      <c r="OI26" s="19"/>
      <c r="OJ26" s="19"/>
      <c r="OK26" s="19"/>
      <c r="OL26" s="19"/>
      <c r="OM26" s="19"/>
      <c r="ON26" s="19"/>
      <c r="OO26" s="19"/>
      <c r="OP26" s="19"/>
      <c r="OQ26" s="19"/>
      <c r="OR26" s="19"/>
      <c r="OS26" s="19"/>
      <c r="OT26" s="19"/>
      <c r="OU26" s="19"/>
      <c r="OV26" s="19"/>
      <c r="OW26" s="19"/>
      <c r="OX26" s="19"/>
      <c r="OY26" s="19"/>
      <c r="OZ26" s="19"/>
      <c r="PA26" s="19"/>
      <c r="PB26" s="19"/>
      <c r="PC26" s="19"/>
      <c r="PD26" s="19"/>
      <c r="PE26" s="19"/>
      <c r="PF26" s="19"/>
      <c r="PG26" s="19"/>
      <c r="PH26" s="19"/>
      <c r="PI26" s="19"/>
      <c r="PJ26" s="19"/>
      <c r="PK26" s="19"/>
      <c r="PL26" s="19"/>
      <c r="PM26" s="19"/>
      <c r="PN26" s="19"/>
      <c r="PO26" s="19"/>
      <c r="PP26" s="19"/>
      <c r="PQ26" s="19"/>
      <c r="PR26" s="19"/>
      <c r="PS26" s="19"/>
      <c r="PT26" s="19"/>
      <c r="PU26" s="19"/>
      <c r="PV26" s="19"/>
      <c r="PW26" s="19"/>
      <c r="PX26" s="19"/>
      <c r="PY26" s="19"/>
      <c r="PZ26" s="19"/>
      <c r="QA26" s="19"/>
      <c r="QB26" s="19"/>
      <c r="QC26" s="19"/>
      <c r="QD26" s="19"/>
      <c r="QE26" s="19"/>
      <c r="QF26" s="19"/>
      <c r="QG26" s="19"/>
      <c r="QH26" s="19"/>
      <c r="QI26" s="19"/>
      <c r="QJ26" s="19"/>
      <c r="QK26" s="19"/>
      <c r="QL26" s="19"/>
      <c r="QM26" s="19"/>
      <c r="QN26" s="19"/>
      <c r="QO26" s="19"/>
      <c r="QP26" s="19"/>
      <c r="QQ26" s="19"/>
      <c r="QR26" s="19"/>
      <c r="QS26" s="19"/>
      <c r="QT26" s="19"/>
      <c r="QU26" s="19"/>
    </row>
    <row r="27" spans="2:471" ht="15.95" customHeight="1" x14ac:dyDescent="0.25">
      <c r="B27" s="3"/>
      <c r="C27" s="241" t="s">
        <v>6</v>
      </c>
      <c r="D27" s="242"/>
      <c r="E27" s="242"/>
      <c r="F27" s="242"/>
      <c r="G27" s="242"/>
      <c r="H27" s="348"/>
      <c r="I27" s="348"/>
      <c r="J27" s="348"/>
      <c r="K27" s="348"/>
      <c r="L27" s="348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2"/>
      <c r="AI27" s="1"/>
    </row>
    <row r="28" spans="2:471" ht="35.1" customHeight="1" x14ac:dyDescent="0.25">
      <c r="B28" s="3">
        <v>1</v>
      </c>
      <c r="C28" s="218" t="s">
        <v>8</v>
      </c>
      <c r="D28" s="218"/>
      <c r="E28" s="218"/>
      <c r="F28" s="218"/>
      <c r="G28" s="218"/>
      <c r="H28" s="15"/>
      <c r="I28" s="15"/>
      <c r="J28" s="15"/>
      <c r="K28" s="15"/>
      <c r="L28" s="15"/>
      <c r="M28" s="43" t="s">
        <v>1660</v>
      </c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 t="s">
        <v>1713</v>
      </c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 t="s">
        <v>852</v>
      </c>
      <c r="CY28" s="43"/>
      <c r="CZ28" s="43"/>
      <c r="DA28" s="43"/>
      <c r="DB28" s="43"/>
      <c r="DC28" s="43"/>
      <c r="DD28" s="43"/>
      <c r="DE28" s="43"/>
      <c r="DF28" s="43"/>
      <c r="DG28" s="43" t="s">
        <v>860</v>
      </c>
      <c r="DH28" s="43"/>
      <c r="DI28" s="43"/>
      <c r="DJ28" s="43"/>
      <c r="DK28" s="43" t="s">
        <v>864</v>
      </c>
      <c r="DL28" s="43"/>
      <c r="DM28" s="43"/>
      <c r="DN28" s="43"/>
      <c r="DO28" s="43"/>
      <c r="DP28" s="43"/>
      <c r="DQ28" s="43" t="s">
        <v>870</v>
      </c>
      <c r="DR28" s="43"/>
      <c r="DS28" s="43" t="s">
        <v>872</v>
      </c>
      <c r="DT28" s="43"/>
      <c r="DU28" s="43" t="s">
        <v>874</v>
      </c>
      <c r="DV28" s="43"/>
      <c r="DW28" s="43"/>
      <c r="DX28" s="43"/>
      <c r="DY28" s="43" t="s">
        <v>878</v>
      </c>
      <c r="DZ28" s="43"/>
      <c r="EA28" s="43"/>
      <c r="EB28" s="43"/>
      <c r="EC28" s="43" t="s">
        <v>882</v>
      </c>
      <c r="ED28" s="43"/>
      <c r="EE28" s="43"/>
      <c r="EF28" s="43"/>
      <c r="EG28" s="43"/>
      <c r="EH28" s="43"/>
      <c r="EI28" s="43" t="s">
        <v>888</v>
      </c>
      <c r="EJ28" s="43"/>
      <c r="EK28" s="43"/>
      <c r="EL28" s="43"/>
      <c r="EM28" s="43" t="s">
        <v>892</v>
      </c>
      <c r="EN28" s="43"/>
      <c r="EO28" s="43"/>
      <c r="EP28" s="43"/>
      <c r="EQ28" s="43" t="s">
        <v>896</v>
      </c>
      <c r="ER28" s="43"/>
      <c r="ES28" s="43"/>
      <c r="ET28" s="43"/>
      <c r="EU28" s="43"/>
      <c r="EV28" s="43"/>
      <c r="EW28" s="43" t="s">
        <v>902</v>
      </c>
      <c r="EX28" s="43"/>
      <c r="EY28" s="43"/>
      <c r="EZ28" s="43"/>
      <c r="FA28" s="43" t="s">
        <v>906</v>
      </c>
      <c r="FB28" s="43"/>
      <c r="FC28" s="43"/>
      <c r="FD28" s="43" t="s">
        <v>908</v>
      </c>
      <c r="FE28" s="43"/>
      <c r="FF28" s="43"/>
      <c r="FG28" s="43" t="s">
        <v>912</v>
      </c>
      <c r="FH28" s="43"/>
      <c r="FI28" s="43"/>
      <c r="FJ28" s="43"/>
      <c r="FK28" s="43" t="s">
        <v>916</v>
      </c>
      <c r="FL28" s="43"/>
      <c r="FM28" s="43"/>
      <c r="FN28" s="43"/>
      <c r="FO28" s="43"/>
      <c r="FP28" s="43"/>
      <c r="FQ28" s="43"/>
      <c r="FR28" s="43" t="s">
        <v>923</v>
      </c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  <c r="IW28" s="23"/>
      <c r="IX28" s="23"/>
      <c r="IY28" s="23"/>
      <c r="IZ28" s="23"/>
      <c r="JA28" s="23"/>
      <c r="JB28" s="19"/>
      <c r="JC28" s="19"/>
      <c r="JD28" s="19"/>
      <c r="JE28" s="19"/>
      <c r="JF28" s="19"/>
      <c r="JG28" s="19"/>
      <c r="JH28" s="19"/>
      <c r="JI28" s="19"/>
      <c r="JJ28" s="19"/>
      <c r="JK28" s="19"/>
      <c r="JL28" s="19"/>
      <c r="JM28" s="19"/>
      <c r="JN28" s="19"/>
      <c r="JO28" s="19"/>
      <c r="JP28" s="19"/>
      <c r="JQ28" s="19"/>
      <c r="JR28" s="19"/>
      <c r="JS28" s="19"/>
      <c r="JT28" s="19"/>
      <c r="JU28" s="19"/>
      <c r="JV28" s="19"/>
      <c r="JW28" s="19"/>
      <c r="JX28" s="19"/>
      <c r="JY28" s="19"/>
      <c r="JZ28" s="19"/>
      <c r="KA28" s="19"/>
      <c r="KB28" s="19"/>
      <c r="KC28" s="19"/>
      <c r="KD28" s="19"/>
      <c r="KE28" s="19"/>
      <c r="KF28" s="19"/>
      <c r="KG28" s="19"/>
      <c r="KH28" s="19"/>
      <c r="KI28" s="19"/>
      <c r="KJ28" s="19"/>
      <c r="KK28" s="19"/>
      <c r="KL28" s="19"/>
      <c r="KM28" s="19"/>
      <c r="KN28" s="19"/>
      <c r="KO28" s="19"/>
      <c r="KP28" s="19"/>
      <c r="KQ28" s="19"/>
      <c r="KR28" s="19"/>
      <c r="KS28" s="19"/>
      <c r="KT28" s="19"/>
      <c r="KU28" s="19"/>
      <c r="KV28" s="19"/>
      <c r="KW28" s="19"/>
      <c r="KX28" s="19"/>
      <c r="KY28" s="19"/>
      <c r="KZ28" s="19"/>
      <c r="LA28" s="19"/>
      <c r="LB28" s="19"/>
      <c r="LC28" s="19"/>
      <c r="LD28" s="19"/>
      <c r="LE28" s="19"/>
      <c r="LF28" s="19"/>
      <c r="LG28" s="19"/>
      <c r="LH28" s="19"/>
      <c r="LI28" s="19"/>
      <c r="LJ28" s="19"/>
      <c r="LK28" s="19"/>
      <c r="LL28" s="19"/>
      <c r="LM28" s="19"/>
      <c r="LN28" s="19"/>
      <c r="LO28" s="19"/>
      <c r="LP28" s="19"/>
      <c r="LQ28" s="19"/>
      <c r="LR28" s="19"/>
      <c r="LS28" s="19"/>
      <c r="LT28" s="19"/>
      <c r="LU28" s="19"/>
      <c r="LV28" s="19"/>
      <c r="LW28" s="19"/>
      <c r="LX28" s="19"/>
      <c r="LY28" s="19"/>
      <c r="LZ28" s="19"/>
      <c r="MA28" s="19"/>
      <c r="MB28" s="19"/>
      <c r="MC28" s="19"/>
      <c r="MD28" s="19"/>
      <c r="ME28" s="19"/>
      <c r="MF28" s="19"/>
      <c r="MG28" s="19"/>
      <c r="MH28" s="19"/>
      <c r="MI28" s="19"/>
      <c r="MJ28" s="19"/>
      <c r="MK28" s="19"/>
      <c r="ML28" s="19"/>
      <c r="MM28" s="19"/>
      <c r="MN28" s="19"/>
      <c r="MO28" s="19"/>
      <c r="MP28" s="19"/>
      <c r="MQ28" s="19"/>
      <c r="MR28" s="19"/>
      <c r="MS28" s="19"/>
      <c r="MT28" s="19"/>
      <c r="MU28" s="19"/>
      <c r="MV28" s="19"/>
      <c r="MW28" s="19"/>
      <c r="MX28" s="19"/>
      <c r="MY28" s="19"/>
      <c r="MZ28" s="19"/>
      <c r="NA28" s="19"/>
      <c r="NB28" s="19"/>
      <c r="NC28" s="19"/>
      <c r="ND28" s="19"/>
      <c r="NE28" s="19"/>
      <c r="NF28" s="19"/>
      <c r="NG28" s="19"/>
      <c r="NH28" s="19"/>
      <c r="NI28" s="19"/>
      <c r="NJ28" s="19"/>
      <c r="NK28" s="19"/>
      <c r="NL28" s="19"/>
      <c r="NM28" s="19"/>
      <c r="NN28" s="19"/>
      <c r="NO28" s="19"/>
      <c r="NP28" s="19"/>
      <c r="NQ28" s="19"/>
      <c r="NR28" s="19"/>
      <c r="NS28" s="19"/>
      <c r="NT28" s="19"/>
      <c r="NU28" s="19"/>
      <c r="NV28" s="19"/>
      <c r="NW28" s="19"/>
      <c r="NX28" s="19"/>
      <c r="NY28" s="19"/>
      <c r="NZ28" s="19"/>
      <c r="OA28" s="19"/>
      <c r="OB28" s="19"/>
      <c r="OC28" s="19"/>
      <c r="OD28" s="19"/>
      <c r="OE28" s="19"/>
      <c r="OF28" s="19"/>
      <c r="OG28" s="19"/>
      <c r="OH28" s="19"/>
      <c r="OI28" s="19"/>
      <c r="OJ28" s="19"/>
      <c r="OK28" s="19"/>
      <c r="OL28" s="19"/>
      <c r="OM28" s="19"/>
      <c r="ON28" s="19"/>
      <c r="OO28" s="19"/>
      <c r="OP28" s="19"/>
      <c r="OQ28" s="19"/>
      <c r="OR28" s="19"/>
      <c r="OS28" s="19"/>
      <c r="OT28" s="19"/>
      <c r="OU28" s="19"/>
      <c r="OV28" s="19"/>
      <c r="OW28" s="19"/>
      <c r="OX28" s="19"/>
      <c r="OY28" s="19"/>
      <c r="OZ28" s="19"/>
      <c r="PA28" s="19"/>
      <c r="PB28" s="19"/>
      <c r="PC28" s="19"/>
      <c r="PD28" s="19"/>
      <c r="PE28" s="19"/>
      <c r="PF28" s="19"/>
      <c r="PG28" s="19"/>
      <c r="PH28" s="19"/>
      <c r="PI28" s="19"/>
      <c r="PJ28" s="19"/>
      <c r="PK28" s="19"/>
      <c r="PL28" s="19"/>
      <c r="PM28" s="19"/>
      <c r="PN28" s="19"/>
      <c r="PO28" s="19"/>
      <c r="PP28" s="19"/>
      <c r="PQ28" s="19"/>
      <c r="PR28" s="19"/>
      <c r="PS28" s="19"/>
      <c r="PT28" s="19"/>
      <c r="PU28" s="19"/>
      <c r="PV28" s="19"/>
      <c r="PW28" s="19"/>
      <c r="PX28" s="19"/>
      <c r="PY28" s="19"/>
      <c r="PZ28" s="19"/>
      <c r="QA28" s="19"/>
      <c r="QB28" s="19"/>
      <c r="QC28" s="19"/>
      <c r="QD28" s="19"/>
      <c r="QE28" s="19"/>
      <c r="QF28" s="19"/>
      <c r="QG28" s="19"/>
      <c r="QH28" s="19"/>
      <c r="QI28" s="19"/>
      <c r="QJ28" s="19"/>
      <c r="QK28" s="19"/>
      <c r="QL28" s="19"/>
      <c r="QM28" s="19"/>
      <c r="QN28" s="19"/>
      <c r="QO28" s="19"/>
      <c r="QP28" s="19"/>
      <c r="QQ28" s="19"/>
      <c r="QR28" s="19"/>
      <c r="QS28" s="19"/>
      <c r="QT28" s="19"/>
      <c r="QU28" s="19"/>
    </row>
    <row r="29" spans="2:471" ht="35.1" customHeight="1" x14ac:dyDescent="0.25">
      <c r="B29" s="3">
        <v>2</v>
      </c>
      <c r="C29" s="218" t="s">
        <v>9</v>
      </c>
      <c r="D29" s="218"/>
      <c r="E29" s="218"/>
      <c r="F29" s="218"/>
      <c r="G29" s="218"/>
      <c r="H29" s="38" t="s">
        <v>757</v>
      </c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2"/>
      <c r="EO29" s="42"/>
      <c r="EP29" s="42"/>
      <c r="EQ29" s="42"/>
      <c r="ER29" s="42"/>
      <c r="ES29" s="42"/>
      <c r="ET29" s="42"/>
      <c r="EU29" s="42"/>
      <c r="EV29" s="42"/>
      <c r="EW29" s="42"/>
      <c r="EX29" s="42"/>
      <c r="EY29" s="42"/>
      <c r="EZ29" s="42"/>
      <c r="FA29" s="42"/>
      <c r="FB29" s="42"/>
      <c r="FC29" s="42"/>
      <c r="FD29" s="42"/>
      <c r="FE29" s="42"/>
      <c r="FF29" s="42"/>
      <c r="FG29" s="42"/>
      <c r="FH29" s="42"/>
      <c r="FI29" s="42"/>
      <c r="FJ29" s="42"/>
      <c r="FK29" s="42"/>
      <c r="FL29" s="42"/>
      <c r="FM29" s="42"/>
      <c r="FN29" s="42"/>
      <c r="FO29" s="42"/>
      <c r="FP29" s="42"/>
      <c r="FQ29" s="42"/>
      <c r="FR29" s="42"/>
      <c r="FS29" s="42"/>
      <c r="FT29" s="42"/>
      <c r="FU29" s="42"/>
      <c r="FV29" s="42"/>
      <c r="FW29" s="42"/>
      <c r="FX29" s="42"/>
      <c r="FY29" s="42"/>
      <c r="FZ29" s="42"/>
      <c r="GA29" s="42"/>
      <c r="GB29" s="42"/>
      <c r="GC29" s="42"/>
      <c r="GD29" s="42"/>
      <c r="GE29" s="38" t="s">
        <v>937</v>
      </c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23"/>
      <c r="GW29" s="19"/>
      <c r="GX29" s="19"/>
      <c r="GY29" s="19"/>
      <c r="GZ29" s="19"/>
      <c r="HA29" s="19"/>
      <c r="HB29" s="19"/>
      <c r="HC29" s="19"/>
      <c r="HD29" s="19"/>
      <c r="HE29" s="19"/>
      <c r="HF29" s="23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19"/>
      <c r="IV29" s="19"/>
      <c r="IW29" s="19"/>
      <c r="IX29" s="19"/>
      <c r="IY29" s="19"/>
      <c r="IZ29" s="19"/>
      <c r="JA29" s="19"/>
      <c r="JB29" s="19"/>
      <c r="JC29" s="19"/>
      <c r="JD29" s="19"/>
      <c r="JE29" s="19"/>
      <c r="JF29" s="19"/>
      <c r="JG29" s="19"/>
      <c r="JH29" s="19"/>
      <c r="JI29" s="19"/>
      <c r="JJ29" s="19"/>
      <c r="JK29" s="19"/>
      <c r="JL29" s="19"/>
      <c r="JM29" s="19"/>
      <c r="JN29" s="19"/>
      <c r="JO29" s="19"/>
      <c r="JP29" s="19"/>
      <c r="JQ29" s="19"/>
      <c r="JR29" s="19"/>
      <c r="JS29" s="19"/>
      <c r="JT29" s="19"/>
      <c r="JU29" s="19"/>
      <c r="JV29" s="19"/>
      <c r="JW29" s="19"/>
      <c r="JX29" s="19"/>
      <c r="JY29" s="19"/>
      <c r="JZ29" s="19"/>
      <c r="KA29" s="19"/>
      <c r="KB29" s="19"/>
      <c r="KC29" s="19"/>
      <c r="KD29" s="19"/>
      <c r="KE29" s="19"/>
      <c r="KF29" s="19"/>
      <c r="KG29" s="19"/>
      <c r="KH29" s="19"/>
      <c r="KI29" s="19"/>
      <c r="KJ29" s="19"/>
      <c r="KK29" s="19"/>
      <c r="KL29" s="19"/>
      <c r="KM29" s="19"/>
      <c r="KN29" s="19"/>
      <c r="KO29" s="19"/>
      <c r="KP29" s="19"/>
      <c r="KQ29" s="19"/>
      <c r="KR29" s="19"/>
      <c r="KS29" s="19"/>
      <c r="KT29" s="19"/>
      <c r="KU29" s="19"/>
      <c r="KV29" s="19"/>
      <c r="KW29" s="19"/>
      <c r="KX29" s="19"/>
      <c r="KY29" s="19"/>
      <c r="KZ29" s="19"/>
      <c r="LA29" s="19"/>
      <c r="LB29" s="19"/>
      <c r="LC29" s="19"/>
      <c r="LD29" s="19"/>
      <c r="LE29" s="19"/>
      <c r="LF29" s="19"/>
      <c r="LG29" s="19"/>
      <c r="LH29" s="19"/>
      <c r="LI29" s="19"/>
      <c r="LJ29" s="19"/>
      <c r="LK29" s="19"/>
      <c r="LL29" s="19"/>
      <c r="LM29" s="19"/>
      <c r="LN29" s="19"/>
      <c r="LO29" s="19"/>
      <c r="LP29" s="19"/>
      <c r="LQ29" s="19"/>
      <c r="LR29" s="19"/>
      <c r="LS29" s="19"/>
      <c r="LT29" s="19"/>
      <c r="LU29" s="19"/>
      <c r="LV29" s="19"/>
      <c r="LW29" s="19"/>
      <c r="LX29" s="19"/>
      <c r="LY29" s="19"/>
      <c r="LZ29" s="19"/>
      <c r="MA29" s="19"/>
      <c r="MB29" s="19"/>
      <c r="MC29" s="19"/>
      <c r="MD29" s="19"/>
      <c r="ME29" s="19"/>
      <c r="MF29" s="19"/>
      <c r="MG29" s="19"/>
      <c r="MH29" s="19"/>
      <c r="MI29" s="19"/>
      <c r="MJ29" s="19"/>
      <c r="MK29" s="19"/>
      <c r="ML29" s="19"/>
      <c r="MM29" s="19"/>
      <c r="MN29" s="19"/>
      <c r="MO29" s="19"/>
      <c r="MP29" s="19"/>
      <c r="MQ29" s="19"/>
      <c r="MR29" s="19"/>
      <c r="MS29" s="19"/>
      <c r="MT29" s="19"/>
      <c r="MU29" s="19"/>
      <c r="MV29" s="19"/>
      <c r="MW29" s="19"/>
      <c r="MX29" s="19"/>
      <c r="MY29" s="19"/>
      <c r="MZ29" s="19"/>
      <c r="NA29" s="19"/>
      <c r="NB29" s="19"/>
      <c r="NC29" s="19"/>
      <c r="ND29" s="19"/>
      <c r="NE29" s="19"/>
      <c r="NF29" s="19"/>
      <c r="NG29" s="19"/>
      <c r="NH29" s="19"/>
      <c r="NI29" s="19"/>
      <c r="NJ29" s="19"/>
      <c r="NK29" s="19"/>
      <c r="NL29" s="19"/>
      <c r="NM29" s="19"/>
      <c r="NN29" s="19"/>
      <c r="NO29" s="19"/>
      <c r="NP29" s="19"/>
      <c r="NQ29" s="19"/>
      <c r="NR29" s="19"/>
      <c r="NS29" s="19"/>
      <c r="NT29" s="19"/>
      <c r="NU29" s="19"/>
      <c r="NV29" s="19"/>
      <c r="NW29" s="19"/>
      <c r="NX29" s="19"/>
      <c r="NY29" s="19"/>
      <c r="NZ29" s="19"/>
      <c r="OA29" s="19"/>
      <c r="OB29" s="19"/>
      <c r="OC29" s="19"/>
      <c r="OD29" s="19"/>
      <c r="OE29" s="19"/>
      <c r="OF29" s="19"/>
      <c r="OG29" s="19"/>
      <c r="OH29" s="19"/>
      <c r="OI29" s="19"/>
      <c r="OJ29" s="19"/>
      <c r="OK29" s="19"/>
      <c r="OL29" s="19"/>
      <c r="OM29" s="19"/>
      <c r="ON29" s="19"/>
      <c r="OO29" s="19"/>
      <c r="OP29" s="19"/>
      <c r="OQ29" s="19"/>
      <c r="OR29" s="19"/>
      <c r="OS29" s="19"/>
      <c r="OT29" s="19"/>
      <c r="OU29" s="19"/>
      <c r="OV29" s="19"/>
      <c r="OW29" s="19"/>
      <c r="OX29" s="19"/>
      <c r="OY29" s="19"/>
      <c r="OZ29" s="19"/>
      <c r="PA29" s="19"/>
      <c r="PB29" s="19"/>
      <c r="PC29" s="19"/>
      <c r="PD29" s="19"/>
      <c r="PE29" s="19"/>
      <c r="PF29" s="19"/>
      <c r="PG29" s="19"/>
      <c r="PH29" s="19"/>
      <c r="PI29" s="19"/>
      <c r="PJ29" s="19"/>
      <c r="PK29" s="19"/>
      <c r="PL29" s="19"/>
      <c r="PM29" s="19"/>
      <c r="PN29" s="19"/>
      <c r="PO29" s="19"/>
      <c r="PP29" s="19"/>
      <c r="PQ29" s="19"/>
      <c r="PR29" s="19"/>
      <c r="PS29" s="19"/>
      <c r="PT29" s="19"/>
      <c r="PU29" s="19"/>
      <c r="PV29" s="19"/>
      <c r="PW29" s="19"/>
      <c r="PX29" s="19"/>
      <c r="PY29" s="19"/>
      <c r="PZ29" s="19"/>
      <c r="QA29" s="19"/>
      <c r="QB29" s="19"/>
      <c r="QC29" s="19"/>
      <c r="QD29" s="19"/>
      <c r="QE29" s="19"/>
      <c r="QF29" s="19"/>
      <c r="QG29" s="19"/>
      <c r="QH29" s="19"/>
      <c r="QI29" s="19"/>
      <c r="QJ29" s="19"/>
      <c r="QK29" s="19"/>
      <c r="QL29" s="19"/>
      <c r="QM29" s="19"/>
      <c r="QN29" s="19"/>
      <c r="QO29" s="19"/>
      <c r="QP29" s="19"/>
      <c r="QQ29" s="19"/>
      <c r="QR29" s="19"/>
      <c r="QS29" s="19"/>
      <c r="QT29" s="19"/>
      <c r="QU29" s="19"/>
    </row>
    <row r="31" spans="2:471" x14ac:dyDescent="0.2">
      <c r="KM31" s="60"/>
      <c r="KN31" s="60"/>
      <c r="KO31" s="60"/>
      <c r="KP31" s="60"/>
      <c r="KQ31" s="60"/>
      <c r="KR31" s="60"/>
      <c r="KS31" s="60"/>
      <c r="KT31" s="60"/>
      <c r="KU31" s="60"/>
      <c r="KV31" s="60"/>
      <c r="KW31" s="60"/>
      <c r="KX31" s="60"/>
      <c r="KY31" s="60"/>
      <c r="KZ31" s="60"/>
      <c r="LA31" s="60"/>
      <c r="LB31" s="60"/>
      <c r="LE31" s="60"/>
      <c r="LF31" s="60"/>
      <c r="LG31" s="60"/>
      <c r="LH31" s="60"/>
      <c r="LI31" s="60"/>
      <c r="LJ31" s="60"/>
      <c r="LK31" s="60"/>
      <c r="LL31" s="60"/>
      <c r="LM31" s="60"/>
      <c r="LN31" s="60"/>
      <c r="LO31" s="60"/>
      <c r="LP31" s="60"/>
      <c r="LQ31" s="60"/>
      <c r="LR31" s="60"/>
      <c r="LS31" s="60"/>
      <c r="LT31" s="60"/>
      <c r="LU31" s="60"/>
      <c r="LV31" s="60"/>
      <c r="LW31" s="60"/>
      <c r="LX31" s="60"/>
      <c r="LY31" s="60"/>
      <c r="LZ31" s="60"/>
      <c r="MA31" s="60"/>
      <c r="MB31" s="60"/>
      <c r="MC31" s="60"/>
      <c r="MD31" s="60"/>
      <c r="ME31" s="60"/>
      <c r="MF31" s="60"/>
      <c r="MG31" s="60"/>
      <c r="MH31" s="60"/>
      <c r="MI31" s="60"/>
      <c r="MJ31" s="60"/>
      <c r="MK31" s="60"/>
      <c r="ML31" s="60"/>
      <c r="MM31" s="60"/>
      <c r="MN31" s="60"/>
      <c r="MO31" s="60"/>
      <c r="MP31" s="60"/>
      <c r="MQ31" s="60"/>
      <c r="MR31" s="60"/>
      <c r="MS31" s="60"/>
      <c r="MT31" s="60"/>
      <c r="MU31" s="60"/>
      <c r="MV31" s="60"/>
      <c r="MW31" s="60"/>
      <c r="MX31" s="60"/>
      <c r="MY31" s="60"/>
      <c r="MZ31" s="60"/>
      <c r="NA31" s="60"/>
      <c r="NB31" s="60"/>
      <c r="NC31" s="60"/>
      <c r="ND31" s="60"/>
      <c r="NE31" s="60"/>
      <c r="NF31" s="60"/>
      <c r="NG31" s="60"/>
      <c r="NH31" s="60"/>
    </row>
    <row r="32" spans="2:471" ht="35.1" customHeight="1" x14ac:dyDescent="0.2">
      <c r="B32" s="47" t="s">
        <v>1208</v>
      </c>
      <c r="C32" s="48"/>
      <c r="D32" s="48"/>
      <c r="E32" s="48"/>
      <c r="F32" s="48"/>
      <c r="G32" s="49"/>
      <c r="H32" s="23" t="s">
        <v>1209</v>
      </c>
      <c r="I32" s="23" t="s">
        <v>1210</v>
      </c>
      <c r="J32" s="23" t="s">
        <v>1211</v>
      </c>
      <c r="K32" s="23" t="s">
        <v>1212</v>
      </c>
      <c r="L32" s="23" t="s">
        <v>1213</v>
      </c>
      <c r="M32" s="23" t="s">
        <v>1214</v>
      </c>
      <c r="N32" s="23" t="s">
        <v>1215</v>
      </c>
      <c r="O32" s="23" t="s">
        <v>1216</v>
      </c>
      <c r="P32" s="23" t="s">
        <v>1217</v>
      </c>
      <c r="Q32" s="23" t="s">
        <v>1218</v>
      </c>
      <c r="R32" s="23" t="s">
        <v>1219</v>
      </c>
      <c r="S32" s="23" t="s">
        <v>1220</v>
      </c>
      <c r="T32" s="23" t="s">
        <v>1221</v>
      </c>
      <c r="U32" s="23" t="s">
        <v>1222</v>
      </c>
      <c r="V32" s="23" t="s">
        <v>1223</v>
      </c>
      <c r="W32" s="23" t="s">
        <v>1224</v>
      </c>
      <c r="X32" s="23" t="s">
        <v>1225</v>
      </c>
      <c r="Y32" s="23" t="s">
        <v>1226</v>
      </c>
      <c r="Z32" s="23" t="s">
        <v>1227</v>
      </c>
      <c r="AA32" s="23" t="s">
        <v>1228</v>
      </c>
      <c r="AB32" s="23" t="s">
        <v>1229</v>
      </c>
      <c r="AC32" s="23" t="s">
        <v>1230</v>
      </c>
      <c r="AD32" s="23" t="s">
        <v>1231</v>
      </c>
      <c r="AE32" s="23" t="s">
        <v>1232</v>
      </c>
      <c r="AF32" s="23" t="s">
        <v>1233</v>
      </c>
      <c r="AG32" s="23" t="s">
        <v>1234</v>
      </c>
      <c r="AH32" s="23" t="s">
        <v>1235</v>
      </c>
      <c r="AI32" s="23" t="s">
        <v>1236</v>
      </c>
      <c r="AJ32" s="23" t="s">
        <v>1237</v>
      </c>
      <c r="AK32" s="23" t="s">
        <v>1238</v>
      </c>
      <c r="AL32" s="23" t="s">
        <v>1239</v>
      </c>
      <c r="AM32" s="23" t="s">
        <v>1240</v>
      </c>
      <c r="AN32" s="23" t="s">
        <v>1241</v>
      </c>
      <c r="AO32" s="23" t="s">
        <v>1242</v>
      </c>
      <c r="AP32" s="23" t="s">
        <v>1243</v>
      </c>
      <c r="AQ32" s="23" t="s">
        <v>1244</v>
      </c>
      <c r="AR32" s="23" t="s">
        <v>1245</v>
      </c>
      <c r="AS32" s="23" t="s">
        <v>1246</v>
      </c>
      <c r="AT32" s="23" t="s">
        <v>1247</v>
      </c>
      <c r="AU32" s="23" t="s">
        <v>1248</v>
      </c>
      <c r="AV32" s="23" t="s">
        <v>1249</v>
      </c>
      <c r="AW32" s="23" t="s">
        <v>1250</v>
      </c>
      <c r="AX32" s="23" t="s">
        <v>1251</v>
      </c>
      <c r="AY32" s="23" t="s">
        <v>1252</v>
      </c>
      <c r="AZ32" s="23" t="s">
        <v>1253</v>
      </c>
      <c r="BA32" s="23" t="s">
        <v>1254</v>
      </c>
      <c r="BB32" s="23" t="s">
        <v>1255</v>
      </c>
      <c r="BC32" s="23" t="s">
        <v>1256</v>
      </c>
      <c r="BD32" s="23" t="s">
        <v>1257</v>
      </c>
      <c r="BE32" s="23" t="s">
        <v>1258</v>
      </c>
      <c r="BF32" s="23" t="s">
        <v>1259</v>
      </c>
      <c r="BG32" s="23" t="s">
        <v>1260</v>
      </c>
      <c r="BH32" s="23" t="s">
        <v>1261</v>
      </c>
      <c r="BI32" s="23" t="s">
        <v>1262</v>
      </c>
      <c r="BJ32" s="23" t="s">
        <v>1263</v>
      </c>
      <c r="BK32" s="23" t="s">
        <v>1264</v>
      </c>
      <c r="BL32" s="23" t="s">
        <v>1265</v>
      </c>
      <c r="BM32" s="23" t="s">
        <v>1266</v>
      </c>
      <c r="BN32" s="23" t="s">
        <v>1267</v>
      </c>
      <c r="BO32" s="23" t="s">
        <v>1268</v>
      </c>
      <c r="BP32" s="23" t="s">
        <v>1269</v>
      </c>
      <c r="BQ32" s="23" t="s">
        <v>1270</v>
      </c>
      <c r="BR32" s="23" t="s">
        <v>1271</v>
      </c>
      <c r="BS32" s="23" t="s">
        <v>1272</v>
      </c>
      <c r="BT32" s="23" t="s">
        <v>1273</v>
      </c>
      <c r="BU32" s="23" t="s">
        <v>1274</v>
      </c>
      <c r="BV32" s="23" t="s">
        <v>1275</v>
      </c>
      <c r="BW32" s="23" t="s">
        <v>1276</v>
      </c>
      <c r="BX32" s="23" t="s">
        <v>1277</v>
      </c>
      <c r="BY32" s="23" t="s">
        <v>1278</v>
      </c>
      <c r="BZ32" s="23" t="s">
        <v>1279</v>
      </c>
      <c r="CA32" s="23" t="s">
        <v>1280</v>
      </c>
      <c r="CB32" s="23" t="s">
        <v>1281</v>
      </c>
      <c r="CC32" s="23" t="s">
        <v>1282</v>
      </c>
      <c r="CD32" s="23" t="s">
        <v>1283</v>
      </c>
      <c r="CE32" s="23" t="s">
        <v>1284</v>
      </c>
      <c r="CF32" s="23" t="s">
        <v>1285</v>
      </c>
      <c r="CG32" s="23" t="s">
        <v>1286</v>
      </c>
      <c r="CH32" s="23" t="s">
        <v>1287</v>
      </c>
      <c r="CI32" s="23" t="s">
        <v>1288</v>
      </c>
      <c r="CJ32" s="23" t="s">
        <v>1289</v>
      </c>
      <c r="CK32" s="23" t="s">
        <v>1290</v>
      </c>
      <c r="CL32" s="23" t="s">
        <v>1291</v>
      </c>
      <c r="CM32" s="23" t="s">
        <v>1292</v>
      </c>
      <c r="CN32" s="23" t="s">
        <v>1293</v>
      </c>
      <c r="CO32" s="23" t="s">
        <v>1294</v>
      </c>
      <c r="CP32" s="23" t="s">
        <v>1295</v>
      </c>
      <c r="CQ32" s="23" t="s">
        <v>1296</v>
      </c>
      <c r="CR32" s="23" t="s">
        <v>1297</v>
      </c>
      <c r="CS32" s="23" t="s">
        <v>1298</v>
      </c>
      <c r="CT32" s="23" t="s">
        <v>1299</v>
      </c>
      <c r="CU32" s="23" t="s">
        <v>1300</v>
      </c>
      <c r="CV32" s="23" t="s">
        <v>1301</v>
      </c>
      <c r="CW32" s="23" t="s">
        <v>1302</v>
      </c>
      <c r="CX32" s="23" t="s">
        <v>1303</v>
      </c>
      <c r="CY32" s="23" t="s">
        <v>1304</v>
      </c>
      <c r="CZ32" s="23" t="s">
        <v>1305</v>
      </c>
      <c r="DA32" s="23" t="s">
        <v>1306</v>
      </c>
      <c r="DB32" s="23" t="s">
        <v>1307</v>
      </c>
      <c r="DC32" s="23" t="s">
        <v>1308</v>
      </c>
      <c r="DD32" s="23" t="s">
        <v>1309</v>
      </c>
      <c r="DE32" s="23" t="s">
        <v>1310</v>
      </c>
      <c r="DF32" s="23" t="s">
        <v>1311</v>
      </c>
      <c r="DG32" s="23" t="s">
        <v>1312</v>
      </c>
      <c r="DH32" s="23" t="s">
        <v>1313</v>
      </c>
      <c r="DI32" s="23" t="s">
        <v>1314</v>
      </c>
      <c r="DJ32" s="23" t="s">
        <v>1315</v>
      </c>
      <c r="DK32" s="23" t="s">
        <v>1316</v>
      </c>
      <c r="DL32" s="23" t="s">
        <v>1317</v>
      </c>
      <c r="DM32" s="23" t="s">
        <v>1318</v>
      </c>
      <c r="DN32" s="23" t="s">
        <v>1319</v>
      </c>
      <c r="DO32" s="23" t="s">
        <v>1320</v>
      </c>
      <c r="DP32" s="23" t="s">
        <v>1321</v>
      </c>
      <c r="DQ32" s="23" t="s">
        <v>1322</v>
      </c>
      <c r="DR32" s="23" t="s">
        <v>1323</v>
      </c>
      <c r="DS32" s="23" t="s">
        <v>1324</v>
      </c>
      <c r="DT32" s="23" t="s">
        <v>1325</v>
      </c>
      <c r="DU32" s="23" t="s">
        <v>1326</v>
      </c>
      <c r="DV32" s="23" t="s">
        <v>1327</v>
      </c>
      <c r="DW32" s="23" t="s">
        <v>1328</v>
      </c>
      <c r="DX32" s="23" t="s">
        <v>1329</v>
      </c>
      <c r="DY32" s="23" t="s">
        <v>1330</v>
      </c>
      <c r="DZ32" s="23" t="s">
        <v>1331</v>
      </c>
      <c r="EA32" s="23" t="s">
        <v>1332</v>
      </c>
      <c r="EB32" s="23" t="s">
        <v>1333</v>
      </c>
      <c r="EC32" s="23" t="s">
        <v>1334</v>
      </c>
      <c r="ED32" s="23" t="s">
        <v>1335</v>
      </c>
      <c r="EE32" s="23" t="s">
        <v>1336</v>
      </c>
      <c r="EF32" s="23" t="s">
        <v>1337</v>
      </c>
      <c r="EG32" s="23" t="s">
        <v>1338</v>
      </c>
      <c r="EH32" s="23" t="s">
        <v>1339</v>
      </c>
      <c r="EI32" s="23" t="s">
        <v>1340</v>
      </c>
      <c r="EJ32" s="23" t="s">
        <v>1341</v>
      </c>
      <c r="EK32" s="23" t="s">
        <v>1342</v>
      </c>
      <c r="EL32" s="23" t="s">
        <v>1343</v>
      </c>
      <c r="EM32" s="23" t="s">
        <v>1344</v>
      </c>
      <c r="EN32" s="23" t="s">
        <v>1345</v>
      </c>
      <c r="EO32" s="23" t="s">
        <v>1346</v>
      </c>
      <c r="EP32" s="23" t="s">
        <v>1347</v>
      </c>
      <c r="EQ32" s="23" t="s">
        <v>1348</v>
      </c>
      <c r="ER32" s="23" t="s">
        <v>1349</v>
      </c>
      <c r="ES32" s="23" t="s">
        <v>1350</v>
      </c>
      <c r="ET32" s="23" t="s">
        <v>1351</v>
      </c>
      <c r="EU32" s="23" t="s">
        <v>1352</v>
      </c>
      <c r="EV32" s="23" t="s">
        <v>1353</v>
      </c>
      <c r="EW32" s="23" t="s">
        <v>1354</v>
      </c>
      <c r="EX32" s="23" t="s">
        <v>1355</v>
      </c>
      <c r="EY32" s="23" t="s">
        <v>1356</v>
      </c>
      <c r="EZ32" s="23" t="s">
        <v>1357</v>
      </c>
      <c r="FA32" s="23" t="s">
        <v>1358</v>
      </c>
      <c r="FB32" s="23" t="s">
        <v>1359</v>
      </c>
      <c r="FC32" s="23" t="s">
        <v>1360</v>
      </c>
      <c r="FD32" s="23" t="s">
        <v>1361</v>
      </c>
      <c r="FE32" s="23" t="s">
        <v>1362</v>
      </c>
      <c r="FF32" s="23" t="s">
        <v>1363</v>
      </c>
      <c r="FG32" s="23" t="s">
        <v>1364</v>
      </c>
      <c r="FH32" s="23" t="s">
        <v>1365</v>
      </c>
      <c r="FI32" s="23" t="s">
        <v>1366</v>
      </c>
      <c r="FJ32" s="23" t="s">
        <v>1367</v>
      </c>
      <c r="FK32" s="23" t="s">
        <v>1368</v>
      </c>
      <c r="FL32" s="23" t="s">
        <v>1369</v>
      </c>
      <c r="FM32" s="23" t="s">
        <v>1370</v>
      </c>
      <c r="FN32" s="23" t="s">
        <v>1371</v>
      </c>
      <c r="FO32" s="23" t="s">
        <v>1372</v>
      </c>
      <c r="FP32" s="23" t="s">
        <v>1373</v>
      </c>
      <c r="FQ32" s="23" t="s">
        <v>1374</v>
      </c>
      <c r="FR32" s="23" t="s">
        <v>1375</v>
      </c>
      <c r="FS32" s="23" t="s">
        <v>1376</v>
      </c>
      <c r="FT32" s="23" t="s">
        <v>1377</v>
      </c>
      <c r="FU32" s="23" t="s">
        <v>1378</v>
      </c>
      <c r="FV32" s="23" t="s">
        <v>1379</v>
      </c>
      <c r="FW32" s="23" t="s">
        <v>1380</v>
      </c>
      <c r="FX32" s="23" t="s">
        <v>1381</v>
      </c>
      <c r="FY32" s="23" t="s">
        <v>1382</v>
      </c>
      <c r="FZ32" s="23" t="s">
        <v>1383</v>
      </c>
      <c r="GA32" s="23" t="s">
        <v>1384</v>
      </c>
      <c r="GB32" s="23" t="s">
        <v>1385</v>
      </c>
      <c r="GC32" s="23" t="s">
        <v>1386</v>
      </c>
      <c r="GD32" s="23" t="s">
        <v>1387</v>
      </c>
      <c r="GE32" s="23" t="s">
        <v>1388</v>
      </c>
      <c r="GF32" s="23" t="s">
        <v>1389</v>
      </c>
      <c r="GG32" s="23" t="s">
        <v>1390</v>
      </c>
      <c r="GH32" s="23" t="s">
        <v>1391</v>
      </c>
      <c r="GI32" s="23" t="s">
        <v>1392</v>
      </c>
      <c r="GJ32" s="23" t="s">
        <v>1393</v>
      </c>
      <c r="GK32" s="23" t="s">
        <v>1394</v>
      </c>
      <c r="GL32" s="23" t="s">
        <v>1395</v>
      </c>
      <c r="GM32" s="23" t="s">
        <v>1396</v>
      </c>
      <c r="GN32" s="23" t="s">
        <v>1397</v>
      </c>
      <c r="GO32" s="23" t="s">
        <v>1398</v>
      </c>
      <c r="GP32" s="23" t="s">
        <v>1399</v>
      </c>
      <c r="GQ32" s="23" t="s">
        <v>1400</v>
      </c>
      <c r="GR32" s="23" t="s">
        <v>1401</v>
      </c>
      <c r="GS32" s="23" t="s">
        <v>1402</v>
      </c>
      <c r="GT32" s="23" t="s">
        <v>1403</v>
      </c>
      <c r="GU32" s="23" t="s">
        <v>1404</v>
      </c>
      <c r="GV32" s="23" t="s">
        <v>1405</v>
      </c>
      <c r="GW32" s="23" t="s">
        <v>1406</v>
      </c>
      <c r="GX32" s="23" t="s">
        <v>1407</v>
      </c>
      <c r="GY32" s="23" t="s">
        <v>1408</v>
      </c>
      <c r="GZ32" s="23" t="s">
        <v>1409</v>
      </c>
      <c r="HA32" s="23" t="s">
        <v>1410</v>
      </c>
      <c r="HB32" s="23" t="s">
        <v>1411</v>
      </c>
      <c r="HC32" s="23" t="s">
        <v>1412</v>
      </c>
      <c r="HD32" s="23" t="s">
        <v>1413</v>
      </c>
      <c r="HE32" s="23" t="s">
        <v>1414</v>
      </c>
      <c r="HF32" s="23" t="s">
        <v>1415</v>
      </c>
      <c r="HG32" s="23" t="s">
        <v>1416</v>
      </c>
      <c r="HH32" s="23" t="s">
        <v>1417</v>
      </c>
      <c r="HI32" s="23" t="s">
        <v>1418</v>
      </c>
      <c r="HJ32" s="23" t="s">
        <v>1419</v>
      </c>
      <c r="HK32" s="23" t="s">
        <v>1420</v>
      </c>
      <c r="HL32" s="23" t="s">
        <v>1421</v>
      </c>
      <c r="HM32" s="23" t="s">
        <v>1422</v>
      </c>
      <c r="HN32" s="23" t="s">
        <v>1423</v>
      </c>
      <c r="HO32" s="23" t="s">
        <v>1424</v>
      </c>
      <c r="HP32" s="23" t="s">
        <v>1425</v>
      </c>
      <c r="HQ32" s="23" t="s">
        <v>1426</v>
      </c>
      <c r="HR32" s="23" t="s">
        <v>1427</v>
      </c>
      <c r="HS32" s="23" t="s">
        <v>1428</v>
      </c>
      <c r="HT32" s="23" t="s">
        <v>1429</v>
      </c>
      <c r="HU32" s="23" t="s">
        <v>1430</v>
      </c>
      <c r="HV32" s="23" t="s">
        <v>1431</v>
      </c>
      <c r="HW32" s="23" t="s">
        <v>1432</v>
      </c>
      <c r="HX32" s="23" t="s">
        <v>1433</v>
      </c>
      <c r="HY32" s="23" t="s">
        <v>1434</v>
      </c>
      <c r="HZ32" s="23" t="s">
        <v>1435</v>
      </c>
      <c r="IA32" s="23" t="s">
        <v>1436</v>
      </c>
      <c r="IB32" s="23" t="s">
        <v>1437</v>
      </c>
      <c r="IC32" s="23" t="s">
        <v>1438</v>
      </c>
      <c r="ID32" s="23" t="s">
        <v>1439</v>
      </c>
      <c r="IE32" s="23" t="s">
        <v>1440</v>
      </c>
      <c r="IF32" s="23" t="s">
        <v>1441</v>
      </c>
      <c r="IG32" s="23" t="s">
        <v>1442</v>
      </c>
      <c r="IH32" s="23" t="s">
        <v>1443</v>
      </c>
      <c r="II32" s="23" t="s">
        <v>1444</v>
      </c>
      <c r="IJ32" s="23" t="s">
        <v>1445</v>
      </c>
      <c r="IK32" s="23" t="s">
        <v>1446</v>
      </c>
      <c r="IL32" s="23" t="s">
        <v>1447</v>
      </c>
      <c r="IM32" s="23" t="s">
        <v>1448</v>
      </c>
      <c r="IN32" s="23" t="s">
        <v>1449</v>
      </c>
      <c r="IO32" s="23" t="s">
        <v>1450</v>
      </c>
      <c r="IP32" s="23" t="s">
        <v>1451</v>
      </c>
      <c r="IQ32" s="23" t="s">
        <v>1452</v>
      </c>
      <c r="IR32" s="23" t="s">
        <v>1453</v>
      </c>
      <c r="IS32" s="23" t="s">
        <v>1454</v>
      </c>
      <c r="IT32" s="23" t="s">
        <v>1455</v>
      </c>
      <c r="IU32" s="23" t="s">
        <v>1456</v>
      </c>
      <c r="IV32" s="23" t="s">
        <v>1457</v>
      </c>
      <c r="IW32" s="23" t="s">
        <v>1458</v>
      </c>
      <c r="IX32" s="23" t="s">
        <v>1459</v>
      </c>
      <c r="IY32" s="23" t="s">
        <v>1460</v>
      </c>
      <c r="IZ32" s="23" t="s">
        <v>1461</v>
      </c>
      <c r="JA32" s="23" t="s">
        <v>1462</v>
      </c>
      <c r="JB32" s="23" t="s">
        <v>1463</v>
      </c>
      <c r="JC32" s="23" t="s">
        <v>1464</v>
      </c>
      <c r="JD32" s="23" t="s">
        <v>1465</v>
      </c>
      <c r="JE32" s="23" t="s">
        <v>1466</v>
      </c>
      <c r="JF32" s="23" t="s">
        <v>1467</v>
      </c>
      <c r="JG32" s="23" t="s">
        <v>1468</v>
      </c>
      <c r="JH32" s="23" t="s">
        <v>1469</v>
      </c>
      <c r="JI32" s="23" t="s">
        <v>1470</v>
      </c>
      <c r="JJ32" s="23" t="s">
        <v>1471</v>
      </c>
      <c r="JK32" s="23" t="s">
        <v>1472</v>
      </c>
      <c r="JL32" s="23" t="s">
        <v>1473</v>
      </c>
      <c r="JM32" s="23" t="s">
        <v>1474</v>
      </c>
      <c r="JN32" s="23" t="s">
        <v>1475</v>
      </c>
      <c r="JO32" s="23" t="s">
        <v>1476</v>
      </c>
      <c r="JP32" s="23" t="s">
        <v>1477</v>
      </c>
      <c r="JQ32" s="23" t="s">
        <v>1478</v>
      </c>
      <c r="JR32" s="23" t="s">
        <v>1479</v>
      </c>
      <c r="JS32" s="23" t="s">
        <v>1480</v>
      </c>
      <c r="JT32" s="23" t="s">
        <v>1481</v>
      </c>
      <c r="JU32" s="23" t="s">
        <v>1482</v>
      </c>
      <c r="JV32" s="23" t="s">
        <v>1483</v>
      </c>
      <c r="JW32" s="23" t="s">
        <v>1484</v>
      </c>
      <c r="JX32" s="23" t="s">
        <v>1485</v>
      </c>
      <c r="JY32" s="23" t="s">
        <v>1486</v>
      </c>
      <c r="JZ32" s="23" t="s">
        <v>1487</v>
      </c>
      <c r="KA32" s="23" t="s">
        <v>1488</v>
      </c>
      <c r="KB32" s="23" t="s">
        <v>1489</v>
      </c>
      <c r="KC32" s="23" t="s">
        <v>1490</v>
      </c>
      <c r="KD32" s="23" t="s">
        <v>1491</v>
      </c>
      <c r="KE32" s="23" t="s">
        <v>1492</v>
      </c>
      <c r="KF32" s="23" t="s">
        <v>1493</v>
      </c>
      <c r="KG32" s="23" t="s">
        <v>1494</v>
      </c>
      <c r="KH32" s="23" t="s">
        <v>1495</v>
      </c>
      <c r="KI32" s="23" t="s">
        <v>1496</v>
      </c>
      <c r="KJ32" s="23" t="s">
        <v>1497</v>
      </c>
      <c r="KK32" s="23" t="s">
        <v>1498</v>
      </c>
      <c r="KL32" s="23" t="s">
        <v>1499</v>
      </c>
      <c r="KM32" s="23" t="s">
        <v>1500</v>
      </c>
      <c r="KN32" s="23" t="s">
        <v>1501</v>
      </c>
      <c r="KO32" s="23" t="s">
        <v>1502</v>
      </c>
      <c r="KP32" s="23" t="s">
        <v>1503</v>
      </c>
      <c r="KQ32" s="23" t="s">
        <v>1504</v>
      </c>
      <c r="KR32" s="23" t="s">
        <v>1505</v>
      </c>
      <c r="KS32" s="23" t="s">
        <v>1506</v>
      </c>
      <c r="KT32" s="23" t="s">
        <v>1507</v>
      </c>
      <c r="KU32" s="23" t="s">
        <v>1508</v>
      </c>
      <c r="KV32" s="23" t="s">
        <v>1509</v>
      </c>
      <c r="KW32" s="23" t="s">
        <v>1510</v>
      </c>
      <c r="KX32" s="23" t="s">
        <v>1511</v>
      </c>
      <c r="KY32" s="23" t="s">
        <v>1512</v>
      </c>
      <c r="KZ32" s="23" t="s">
        <v>1513</v>
      </c>
      <c r="LA32" s="23" t="s">
        <v>1514</v>
      </c>
      <c r="LB32" s="23" t="s">
        <v>1515</v>
      </c>
      <c r="LC32" s="23" t="s">
        <v>1516</v>
      </c>
      <c r="LD32" s="23" t="s">
        <v>1517</v>
      </c>
      <c r="LE32" s="23" t="s">
        <v>1518</v>
      </c>
      <c r="LF32" s="23" t="s">
        <v>1519</v>
      </c>
      <c r="LG32" s="23" t="s">
        <v>1520</v>
      </c>
      <c r="LH32" s="23" t="s">
        <v>1521</v>
      </c>
      <c r="LI32" s="23" t="s">
        <v>1522</v>
      </c>
      <c r="LJ32" s="23" t="s">
        <v>1523</v>
      </c>
      <c r="LK32" s="23" t="s">
        <v>1524</v>
      </c>
      <c r="LL32" s="23" t="s">
        <v>1525</v>
      </c>
      <c r="LM32" s="23" t="s">
        <v>1526</v>
      </c>
      <c r="LN32" s="23" t="s">
        <v>1527</v>
      </c>
      <c r="LO32" s="23" t="s">
        <v>1528</v>
      </c>
      <c r="LP32" s="23" t="s">
        <v>1529</v>
      </c>
      <c r="LQ32" s="23" t="s">
        <v>1530</v>
      </c>
      <c r="LR32" s="23" t="s">
        <v>1531</v>
      </c>
      <c r="LS32" s="23" t="s">
        <v>1532</v>
      </c>
      <c r="LT32" s="23" t="s">
        <v>1533</v>
      </c>
      <c r="LU32" s="23" t="s">
        <v>1534</v>
      </c>
      <c r="LV32" s="23" t="s">
        <v>1535</v>
      </c>
      <c r="LW32" s="23" t="s">
        <v>1536</v>
      </c>
      <c r="LX32" s="23" t="s">
        <v>1537</v>
      </c>
      <c r="LY32" s="23" t="s">
        <v>1538</v>
      </c>
      <c r="LZ32" s="23" t="s">
        <v>1539</v>
      </c>
      <c r="MA32" s="23" t="s">
        <v>1540</v>
      </c>
      <c r="MB32" s="23" t="s">
        <v>1541</v>
      </c>
      <c r="MC32" s="23" t="s">
        <v>1542</v>
      </c>
      <c r="MD32" s="23" t="s">
        <v>1543</v>
      </c>
      <c r="ME32" s="23" t="s">
        <v>1544</v>
      </c>
      <c r="MF32" s="23" t="s">
        <v>1545</v>
      </c>
      <c r="MG32" s="23" t="s">
        <v>1546</v>
      </c>
      <c r="MH32" s="23" t="s">
        <v>1547</v>
      </c>
      <c r="MI32" s="23" t="s">
        <v>1548</v>
      </c>
      <c r="MJ32" s="23" t="s">
        <v>1549</v>
      </c>
      <c r="MK32" s="23" t="s">
        <v>1550</v>
      </c>
      <c r="ML32" s="23" t="s">
        <v>1551</v>
      </c>
      <c r="MM32" s="23" t="s">
        <v>1552</v>
      </c>
      <c r="MN32" s="23" t="s">
        <v>1553</v>
      </c>
      <c r="MO32" s="23" t="s">
        <v>1554</v>
      </c>
      <c r="MP32" s="23" t="s">
        <v>1555</v>
      </c>
      <c r="MQ32" s="23" t="s">
        <v>1556</v>
      </c>
      <c r="MR32" s="23" t="s">
        <v>1557</v>
      </c>
      <c r="MS32" s="23" t="s">
        <v>1558</v>
      </c>
      <c r="MT32" s="23" t="s">
        <v>1559</v>
      </c>
      <c r="MU32" s="23" t="s">
        <v>1560</v>
      </c>
      <c r="MV32" s="23" t="s">
        <v>1561</v>
      </c>
      <c r="MW32" s="23" t="s">
        <v>1562</v>
      </c>
      <c r="MX32" s="23" t="s">
        <v>1563</v>
      </c>
      <c r="MY32" s="23" t="s">
        <v>1564</v>
      </c>
      <c r="MZ32" s="23" t="s">
        <v>1565</v>
      </c>
      <c r="NA32" s="23" t="s">
        <v>1566</v>
      </c>
      <c r="NB32" s="23" t="s">
        <v>1567</v>
      </c>
      <c r="NC32" s="23" t="s">
        <v>1568</v>
      </c>
      <c r="ND32" s="23" t="s">
        <v>1569</v>
      </c>
      <c r="NE32" s="23" t="s">
        <v>1570</v>
      </c>
      <c r="NF32" s="23" t="s">
        <v>1571</v>
      </c>
      <c r="NG32" s="23" t="s">
        <v>1572</v>
      </c>
      <c r="NH32" s="23" t="s">
        <v>1573</v>
      </c>
      <c r="NI32" s="23" t="s">
        <v>1574</v>
      </c>
      <c r="NJ32" s="23" t="s">
        <v>1575</v>
      </c>
      <c r="NK32" s="23" t="s">
        <v>1576</v>
      </c>
      <c r="NL32" s="23" t="s">
        <v>1577</v>
      </c>
      <c r="NM32" s="23" t="s">
        <v>1578</v>
      </c>
      <c r="NN32" s="23" t="s">
        <v>1579</v>
      </c>
      <c r="NO32" s="23" t="s">
        <v>1580</v>
      </c>
      <c r="NP32" s="23" t="s">
        <v>1581</v>
      </c>
      <c r="NQ32" s="23" t="s">
        <v>1582</v>
      </c>
      <c r="NR32" s="23" t="s">
        <v>1583</v>
      </c>
      <c r="NS32" s="23" t="s">
        <v>1584</v>
      </c>
      <c r="NT32" s="23" t="s">
        <v>1585</v>
      </c>
      <c r="NU32" s="23" t="s">
        <v>1586</v>
      </c>
      <c r="NV32" s="23" t="s">
        <v>1587</v>
      </c>
      <c r="NW32" s="23" t="s">
        <v>1588</v>
      </c>
      <c r="NX32" s="23" t="s">
        <v>1589</v>
      </c>
      <c r="NY32" s="23" t="s">
        <v>1590</v>
      </c>
      <c r="NZ32" s="23" t="s">
        <v>1591</v>
      </c>
      <c r="OA32" s="23" t="s">
        <v>1592</v>
      </c>
      <c r="OB32" s="23" t="s">
        <v>1593</v>
      </c>
      <c r="OC32" s="23" t="s">
        <v>1594</v>
      </c>
      <c r="OD32" s="23" t="s">
        <v>1595</v>
      </c>
      <c r="OE32" s="23" t="s">
        <v>1596</v>
      </c>
      <c r="OF32" s="23" t="s">
        <v>1597</v>
      </c>
      <c r="OG32" s="23" t="s">
        <v>1598</v>
      </c>
      <c r="OH32" s="23" t="s">
        <v>1599</v>
      </c>
      <c r="OI32" s="23" t="s">
        <v>1600</v>
      </c>
      <c r="OJ32" s="23" t="s">
        <v>1601</v>
      </c>
      <c r="OK32" s="23" t="s">
        <v>1602</v>
      </c>
      <c r="OL32" s="23" t="s">
        <v>1603</v>
      </c>
      <c r="OM32" s="23" t="s">
        <v>1604</v>
      </c>
      <c r="ON32" s="23" t="s">
        <v>1605</v>
      </c>
      <c r="OO32" s="23" t="s">
        <v>1606</v>
      </c>
      <c r="OP32" s="23" t="s">
        <v>1607</v>
      </c>
      <c r="OQ32" s="23" t="s">
        <v>1608</v>
      </c>
      <c r="OR32" s="23" t="s">
        <v>1609</v>
      </c>
      <c r="OS32" s="23" t="s">
        <v>1610</v>
      </c>
      <c r="OT32" s="23" t="s">
        <v>1611</v>
      </c>
      <c r="OU32" s="23" t="s">
        <v>1612</v>
      </c>
      <c r="OV32" s="23" t="s">
        <v>1613</v>
      </c>
      <c r="OW32" s="23" t="s">
        <v>1614</v>
      </c>
      <c r="OX32" s="23" t="s">
        <v>1615</v>
      </c>
      <c r="OY32" s="23" t="s">
        <v>1616</v>
      </c>
      <c r="OZ32" s="23" t="s">
        <v>1617</v>
      </c>
      <c r="PA32" s="23" t="s">
        <v>1618</v>
      </c>
      <c r="PB32" s="23" t="s">
        <v>1619</v>
      </c>
      <c r="PC32" s="23" t="s">
        <v>1620</v>
      </c>
      <c r="PD32" s="23" t="s">
        <v>1621</v>
      </c>
      <c r="PE32" s="23" t="s">
        <v>1622</v>
      </c>
      <c r="PF32" s="23" t="s">
        <v>1623</v>
      </c>
      <c r="PG32" s="23" t="s">
        <v>1624</v>
      </c>
      <c r="PH32" s="23" t="s">
        <v>1625</v>
      </c>
      <c r="PI32" s="23" t="s">
        <v>1626</v>
      </c>
      <c r="PJ32" s="23" t="s">
        <v>1627</v>
      </c>
      <c r="PK32" s="23" t="s">
        <v>1628</v>
      </c>
      <c r="PL32" s="23" t="s">
        <v>1629</v>
      </c>
      <c r="PM32" s="23" t="s">
        <v>1630</v>
      </c>
      <c r="PN32" s="23" t="s">
        <v>1631</v>
      </c>
      <c r="PO32" s="23" t="s">
        <v>1632</v>
      </c>
      <c r="PP32" s="23" t="s">
        <v>1633</v>
      </c>
      <c r="PQ32" s="23" t="s">
        <v>1634</v>
      </c>
      <c r="PR32" s="23" t="s">
        <v>1635</v>
      </c>
      <c r="PS32" s="23" t="s">
        <v>1636</v>
      </c>
      <c r="PT32" s="23" t="s">
        <v>1637</v>
      </c>
      <c r="PU32" s="23" t="s">
        <v>1638</v>
      </c>
      <c r="PV32" s="23" t="s">
        <v>1639</v>
      </c>
      <c r="PW32" s="23" t="s">
        <v>1640</v>
      </c>
      <c r="PX32" s="23" t="s">
        <v>1641</v>
      </c>
      <c r="PY32" s="23" t="s">
        <v>1642</v>
      </c>
      <c r="PZ32" s="23" t="s">
        <v>1643</v>
      </c>
      <c r="QA32" s="23" t="s">
        <v>1644</v>
      </c>
      <c r="QB32" s="23" t="s">
        <v>1645</v>
      </c>
      <c r="QC32" s="23" t="s">
        <v>1646</v>
      </c>
      <c r="QD32" s="23" t="s">
        <v>1647</v>
      </c>
      <c r="QE32" s="23" t="s">
        <v>1648</v>
      </c>
      <c r="QF32" s="23" t="s">
        <v>1649</v>
      </c>
      <c r="QG32" s="23" t="s">
        <v>1650</v>
      </c>
      <c r="QH32" s="23" t="s">
        <v>1651</v>
      </c>
      <c r="QI32" s="23" t="s">
        <v>1652</v>
      </c>
      <c r="QJ32" s="23" t="s">
        <v>1653</v>
      </c>
      <c r="QK32" s="23" t="s">
        <v>1654</v>
      </c>
      <c r="QL32" s="23" t="s">
        <v>1655</v>
      </c>
      <c r="QM32" s="23" t="s">
        <v>1656</v>
      </c>
      <c r="QN32" s="23" t="s">
        <v>1657</v>
      </c>
      <c r="QO32" s="23" t="s">
        <v>1658</v>
      </c>
      <c r="QP32" s="23" t="s">
        <v>1659</v>
      </c>
      <c r="QQ32" s="23" t="s">
        <v>1668</v>
      </c>
      <c r="QR32" s="23" t="s">
        <v>1669</v>
      </c>
      <c r="QS32" s="23" t="s">
        <v>1670</v>
      </c>
      <c r="QT32" s="23" t="s">
        <v>1671</v>
      </c>
      <c r="QU32" s="23" t="s">
        <v>1672</v>
      </c>
      <c r="QV32" s="23" t="s">
        <v>1673</v>
      </c>
      <c r="QW32" s="23" t="s">
        <v>1674</v>
      </c>
      <c r="QX32" s="23" t="s">
        <v>1675</v>
      </c>
      <c r="QY32" s="23" t="s">
        <v>1676</v>
      </c>
      <c r="QZ32" s="23" t="s">
        <v>1677</v>
      </c>
      <c r="RA32" s="23" t="s">
        <v>1678</v>
      </c>
      <c r="RB32" s="23" t="s">
        <v>1679</v>
      </c>
      <c r="RC32" s="23" t="s">
        <v>1680</v>
      </c>
    </row>
    <row r="33" spans="2:482" ht="15.95" customHeight="1" x14ac:dyDescent="0.25">
      <c r="B33" s="3"/>
      <c r="C33" s="241" t="s">
        <v>5</v>
      </c>
      <c r="D33" s="242"/>
      <c r="E33" s="242"/>
      <c r="F33" s="242"/>
      <c r="G33" s="242"/>
      <c r="H33" s="348"/>
      <c r="I33" s="348"/>
      <c r="J33" s="348"/>
      <c r="K33" s="348"/>
      <c r="L33" s="348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2"/>
    </row>
    <row r="34" spans="2:482" ht="35.1" customHeight="1" x14ac:dyDescent="0.25">
      <c r="B34" s="3">
        <v>1</v>
      </c>
      <c r="C34" s="218" t="s">
        <v>2</v>
      </c>
      <c r="D34" s="218"/>
      <c r="E34" s="218"/>
      <c r="F34" s="218"/>
      <c r="G34" s="218"/>
      <c r="H34" s="16"/>
      <c r="I34" s="16"/>
      <c r="J34" s="16"/>
      <c r="K34" s="16"/>
      <c r="L34" s="16"/>
      <c r="M34" s="16"/>
      <c r="N34" s="23"/>
      <c r="O34" s="16"/>
      <c r="P34" s="16"/>
      <c r="Q34" s="17"/>
      <c r="R34" s="18"/>
      <c r="S34" s="18"/>
      <c r="T34" s="18"/>
      <c r="U34" s="17"/>
      <c r="V34" s="18"/>
      <c r="W34" s="18"/>
      <c r="X34" s="18"/>
      <c r="Y34" s="18"/>
      <c r="Z34" s="18"/>
      <c r="AA34" s="18"/>
      <c r="AB34" s="18"/>
      <c r="AC34" s="18"/>
      <c r="AD34" s="19"/>
      <c r="AE34" s="20"/>
      <c r="AF34" s="20"/>
      <c r="AG34" s="20"/>
      <c r="AH34" s="20"/>
      <c r="AI34" s="20"/>
      <c r="AJ34" s="20"/>
      <c r="AK34" s="20"/>
      <c r="AL34" s="20"/>
      <c r="AM34" s="19"/>
      <c r="AN34" s="20"/>
      <c r="AO34" s="20"/>
      <c r="AP34" s="20"/>
      <c r="AQ34" s="20"/>
      <c r="AR34" s="50"/>
      <c r="AS34" s="51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23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23"/>
      <c r="EP34" s="19"/>
      <c r="EQ34" s="19"/>
      <c r="ER34" s="19"/>
      <c r="ES34" s="23"/>
      <c r="ET34" s="19"/>
      <c r="EU34" s="19"/>
      <c r="EV34" s="19"/>
      <c r="EW34" s="19"/>
      <c r="EX34" s="19"/>
      <c r="EY34" s="19"/>
      <c r="EZ34" s="19"/>
      <c r="FA34" s="23"/>
      <c r="FB34" s="19"/>
      <c r="FC34" s="23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23"/>
      <c r="GH34" s="53" t="s">
        <v>1763</v>
      </c>
      <c r="GI34" s="53" t="s">
        <v>1392</v>
      </c>
      <c r="GJ34" s="53"/>
      <c r="GK34" s="53"/>
      <c r="GL34" s="53"/>
      <c r="GM34" s="53"/>
      <c r="GN34" s="53"/>
      <c r="GO34" s="53"/>
      <c r="GP34" s="53"/>
      <c r="GQ34" s="53"/>
      <c r="GR34" s="53"/>
      <c r="GS34" s="53"/>
      <c r="GT34" s="53"/>
      <c r="GU34" s="53" t="s">
        <v>1754</v>
      </c>
      <c r="GV34" s="53"/>
      <c r="GW34" s="53"/>
      <c r="GX34" s="53"/>
      <c r="GY34" s="53"/>
      <c r="GZ34" s="53"/>
      <c r="HA34" s="53"/>
      <c r="HB34" s="53"/>
      <c r="HC34" s="53"/>
      <c r="HD34" s="53"/>
      <c r="HE34" s="53"/>
      <c r="HF34" s="53"/>
      <c r="HG34" s="53"/>
      <c r="HH34" s="53"/>
      <c r="HI34" s="53"/>
      <c r="HJ34" s="23" t="s">
        <v>1758</v>
      </c>
      <c r="HK34" s="66" t="s">
        <v>1759</v>
      </c>
      <c r="HL34" s="23" t="s">
        <v>1757</v>
      </c>
      <c r="HM34" s="53"/>
      <c r="HN34" s="53"/>
      <c r="HO34" s="53"/>
      <c r="HP34" s="53"/>
      <c r="HQ34" s="53"/>
      <c r="HR34" s="53" t="s">
        <v>1752</v>
      </c>
      <c r="HS34" s="53"/>
      <c r="HT34" s="53"/>
      <c r="HU34" s="53"/>
      <c r="HV34" s="53"/>
      <c r="HW34" s="53"/>
      <c r="HX34" s="53"/>
      <c r="HY34" s="53"/>
      <c r="HZ34" s="53"/>
      <c r="IA34" s="53"/>
      <c r="IB34" s="53"/>
      <c r="IC34" s="53" t="s">
        <v>1741</v>
      </c>
      <c r="ID34" s="53"/>
      <c r="IE34" s="53"/>
      <c r="IF34" s="53"/>
      <c r="IG34" s="53"/>
      <c r="IH34" s="53"/>
      <c r="II34" s="53" t="s">
        <v>1734</v>
      </c>
      <c r="IJ34" s="53"/>
      <c r="IK34" s="53"/>
      <c r="IL34" s="53" t="s">
        <v>1733</v>
      </c>
      <c r="IM34" s="53"/>
      <c r="IN34" s="53"/>
      <c r="IO34" s="53" t="s">
        <v>1729</v>
      </c>
      <c r="IP34" s="53"/>
      <c r="IQ34" s="53"/>
      <c r="IR34" s="53"/>
      <c r="IS34" s="53"/>
      <c r="IT34" s="53"/>
      <c r="IU34" s="53"/>
      <c r="IV34" s="53"/>
      <c r="IW34" s="53"/>
      <c r="IX34" s="53"/>
      <c r="IY34" s="53"/>
      <c r="IZ34" s="53" t="s">
        <v>1461</v>
      </c>
      <c r="JA34" s="53"/>
      <c r="JB34" s="53" t="s">
        <v>1463</v>
      </c>
      <c r="JC34" s="53"/>
      <c r="JD34" s="53"/>
      <c r="JE34" s="53"/>
      <c r="JF34" s="53" t="s">
        <v>1467</v>
      </c>
      <c r="JG34" s="52"/>
      <c r="JH34" s="52"/>
      <c r="JI34" s="52"/>
      <c r="JJ34" s="52"/>
      <c r="JK34" s="52"/>
      <c r="JL34" s="52"/>
      <c r="JM34" s="52"/>
      <c r="JN34" s="52"/>
      <c r="JO34" s="52"/>
      <c r="JP34" s="52"/>
      <c r="JQ34" s="52"/>
      <c r="JR34" s="52"/>
      <c r="JS34" s="52"/>
      <c r="JT34" s="52"/>
      <c r="JU34" s="52"/>
      <c r="JV34" s="52"/>
      <c r="JW34" s="52"/>
      <c r="JX34" s="52"/>
      <c r="JY34" s="52"/>
      <c r="JZ34" s="52"/>
      <c r="KA34" s="52"/>
      <c r="KB34" s="52"/>
      <c r="KC34" s="52"/>
      <c r="KD34" s="52"/>
      <c r="KE34" s="52"/>
      <c r="KF34" s="52"/>
      <c r="KG34" s="52"/>
      <c r="KH34" s="52"/>
      <c r="KI34" s="52"/>
      <c r="KJ34" s="52"/>
      <c r="KK34" s="52"/>
      <c r="KL34" s="52"/>
      <c r="KM34" s="52"/>
      <c r="KN34" s="52"/>
      <c r="KO34" s="53"/>
      <c r="KP34" s="53"/>
      <c r="KQ34" s="53"/>
      <c r="KR34" s="53"/>
      <c r="KS34" s="53"/>
      <c r="KT34" s="53"/>
      <c r="KU34" s="53"/>
      <c r="KV34" s="53"/>
      <c r="KW34" s="53"/>
      <c r="KX34" s="53"/>
      <c r="KY34" s="53"/>
      <c r="KZ34" s="53"/>
      <c r="LA34" s="53"/>
      <c r="LB34" s="53"/>
      <c r="LC34" s="53"/>
      <c r="LD34" s="53"/>
      <c r="LE34" s="53"/>
      <c r="LF34" s="53"/>
      <c r="LG34" s="53"/>
      <c r="LH34" s="53"/>
      <c r="LI34" s="53"/>
      <c r="LJ34" s="53"/>
      <c r="LK34" s="53"/>
      <c r="LL34" s="53"/>
      <c r="LM34" s="53"/>
      <c r="LN34" s="53"/>
      <c r="LO34" s="53"/>
      <c r="LP34" s="53"/>
      <c r="LQ34" s="53"/>
      <c r="LR34" s="53"/>
      <c r="LS34" s="53"/>
      <c r="LT34" s="53"/>
      <c r="LU34" s="53"/>
      <c r="LV34" s="53"/>
      <c r="LW34" s="53"/>
      <c r="LX34" s="53"/>
      <c r="LY34" s="53"/>
      <c r="LZ34" s="53"/>
      <c r="MA34" s="53"/>
      <c r="MB34" s="53"/>
      <c r="MC34" s="53"/>
      <c r="MD34" s="53"/>
      <c r="ME34" s="53"/>
      <c r="MF34" s="53"/>
      <c r="MG34" s="53"/>
      <c r="MH34" s="53"/>
      <c r="MI34" s="53"/>
      <c r="MJ34" s="53"/>
      <c r="MK34" s="53"/>
      <c r="ML34" s="53"/>
      <c r="MM34" s="53"/>
      <c r="MN34" s="53"/>
      <c r="MO34" s="53"/>
      <c r="MP34" s="53"/>
      <c r="MQ34" s="53"/>
      <c r="MR34" s="53"/>
      <c r="MS34" s="53"/>
      <c r="MT34" s="53"/>
      <c r="MU34" s="53"/>
      <c r="MV34" s="53"/>
      <c r="MW34" s="53"/>
      <c r="MX34" s="53"/>
      <c r="MY34" s="53"/>
      <c r="MZ34" s="53"/>
      <c r="NA34" s="53"/>
      <c r="NB34" s="53"/>
      <c r="NC34" s="53"/>
      <c r="ND34" s="53"/>
      <c r="NE34" s="53"/>
      <c r="NF34" s="53"/>
      <c r="NG34" s="53"/>
      <c r="NH34" s="53"/>
      <c r="NI34" s="53"/>
      <c r="NJ34" s="53"/>
      <c r="NK34" s="53"/>
      <c r="NL34" s="53"/>
      <c r="NM34" s="53"/>
      <c r="NN34" s="53"/>
      <c r="NO34" s="53"/>
      <c r="NP34" s="53"/>
      <c r="NQ34" s="53"/>
      <c r="NR34" s="53"/>
      <c r="NS34" s="53"/>
      <c r="NT34" s="53"/>
      <c r="NU34" s="53"/>
      <c r="NV34" s="53"/>
      <c r="NW34" s="53"/>
      <c r="NX34" s="53"/>
      <c r="NY34" s="53"/>
      <c r="NZ34" s="53"/>
      <c r="OA34" s="53"/>
      <c r="OB34" s="53"/>
      <c r="OC34" s="53"/>
      <c r="OD34" s="53"/>
      <c r="OE34" s="53"/>
      <c r="OF34" s="53"/>
      <c r="OG34" s="53"/>
      <c r="OH34" s="53"/>
      <c r="OI34" s="53"/>
      <c r="OJ34" s="53"/>
      <c r="OK34" s="53"/>
      <c r="OL34" s="53"/>
      <c r="OM34" s="53"/>
      <c r="ON34" s="53"/>
      <c r="OO34" s="53"/>
      <c r="OP34" s="53"/>
      <c r="OQ34" s="53"/>
      <c r="OR34" s="53"/>
      <c r="OS34" s="53"/>
      <c r="OT34" s="53"/>
      <c r="OU34" s="53"/>
      <c r="OV34" s="53"/>
      <c r="OW34" s="53"/>
      <c r="OX34" s="53"/>
      <c r="OY34" s="53"/>
      <c r="OZ34" s="53"/>
      <c r="PA34" s="53"/>
      <c r="PB34" s="53"/>
      <c r="PC34" s="53"/>
      <c r="PD34" s="53"/>
      <c r="PE34" s="53"/>
      <c r="PF34" s="53"/>
      <c r="PG34" s="53"/>
      <c r="PH34" s="53"/>
      <c r="PI34" s="53"/>
      <c r="PJ34" s="53"/>
      <c r="PK34" s="53"/>
      <c r="PL34" s="53"/>
      <c r="PM34" s="53"/>
      <c r="PN34" s="53"/>
      <c r="PO34" s="53"/>
      <c r="PP34" s="53"/>
      <c r="PQ34" s="53"/>
      <c r="PR34" s="53"/>
      <c r="PS34" s="53"/>
      <c r="PT34" s="53"/>
      <c r="PU34" s="53"/>
      <c r="PV34" s="53"/>
      <c r="PW34" s="53"/>
      <c r="PX34" s="53"/>
      <c r="PY34" s="53"/>
      <c r="PZ34" s="53"/>
      <c r="QA34" s="53"/>
      <c r="QB34" s="53"/>
      <c r="QC34" s="53"/>
      <c r="QD34" s="53"/>
      <c r="QE34" s="53"/>
      <c r="QF34" s="53"/>
      <c r="QG34" s="53"/>
      <c r="QH34" s="53"/>
      <c r="QI34" s="53"/>
      <c r="QJ34" s="53"/>
      <c r="QK34" s="53"/>
      <c r="QL34" s="53"/>
      <c r="QM34" s="53"/>
      <c r="QN34" s="53"/>
      <c r="QO34" s="53"/>
      <c r="QP34" s="53"/>
      <c r="QQ34" s="53"/>
      <c r="QR34" s="53"/>
      <c r="QS34" s="53"/>
      <c r="QT34" s="53"/>
      <c r="QU34" s="53"/>
      <c r="QV34" s="53"/>
      <c r="QW34" s="53"/>
      <c r="QX34" s="53"/>
      <c r="QY34" s="53"/>
      <c r="QZ34" s="53"/>
      <c r="RA34" s="53"/>
      <c r="RB34" s="53" t="s">
        <v>1681</v>
      </c>
      <c r="RC34" s="23"/>
      <c r="RE34" s="58" t="s">
        <v>2</v>
      </c>
      <c r="RF34" s="59"/>
      <c r="RG34" s="58"/>
      <c r="RH34" s="59"/>
      <c r="RI34" s="58"/>
      <c r="RJ34" s="58"/>
      <c r="RK34" s="58"/>
      <c r="RL34" s="58"/>
      <c r="RM34" s="59"/>
      <c r="RN34" s="59"/>
    </row>
    <row r="35" spans="2:482" ht="35.1" customHeight="1" x14ac:dyDescent="0.25">
      <c r="B35" s="3">
        <v>2</v>
      </c>
      <c r="C35" s="218" t="s">
        <v>3</v>
      </c>
      <c r="D35" s="218"/>
      <c r="E35" s="218"/>
      <c r="F35" s="218"/>
      <c r="G35" s="218"/>
      <c r="H35" s="15"/>
      <c r="I35" s="15"/>
      <c r="J35" s="16"/>
      <c r="K35" s="16"/>
      <c r="L35" s="16"/>
      <c r="M35" s="16"/>
      <c r="N35" s="16"/>
      <c r="O35" s="16"/>
      <c r="P35" s="16"/>
      <c r="Q35" s="17"/>
      <c r="R35" s="18"/>
      <c r="S35" s="18"/>
      <c r="T35" s="18"/>
      <c r="U35" s="17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19"/>
      <c r="DI35" s="19"/>
      <c r="DJ35" s="19"/>
      <c r="DK35" s="19"/>
      <c r="DL35" s="19"/>
      <c r="DM35" s="19"/>
      <c r="DN35" s="23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23"/>
      <c r="EY35" s="19"/>
      <c r="EZ35" s="19"/>
      <c r="FA35" s="23"/>
      <c r="FB35" s="19"/>
      <c r="FC35" s="23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23"/>
      <c r="FO35" s="19"/>
      <c r="FP35" s="19"/>
      <c r="FQ35" s="19"/>
      <c r="FR35" s="19"/>
      <c r="FS35" s="19"/>
      <c r="FT35" s="23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54" t="s">
        <v>1765</v>
      </c>
      <c r="HD35" s="54"/>
      <c r="HE35" s="54"/>
      <c r="HF35" s="54"/>
      <c r="HG35" s="54"/>
      <c r="HH35" s="54"/>
      <c r="HI35" s="54"/>
      <c r="HJ35" s="23" t="s">
        <v>1758</v>
      </c>
      <c r="HK35" s="66" t="s">
        <v>1759</v>
      </c>
      <c r="HL35" s="23" t="s">
        <v>1757</v>
      </c>
      <c r="HM35" s="54" t="s">
        <v>1422</v>
      </c>
      <c r="HN35" s="54"/>
      <c r="HO35" s="54"/>
      <c r="HP35" s="54"/>
      <c r="HQ35" s="54"/>
      <c r="HR35" s="54"/>
      <c r="HS35" s="54"/>
      <c r="HT35" s="54"/>
      <c r="HU35" s="54"/>
      <c r="HV35" s="54"/>
      <c r="HW35" s="54"/>
      <c r="HX35" s="54"/>
      <c r="HY35" s="54"/>
      <c r="HZ35" s="54"/>
      <c r="IA35" s="54"/>
      <c r="IB35" s="54"/>
      <c r="IC35" s="54"/>
      <c r="ID35" s="54" t="s">
        <v>1439</v>
      </c>
      <c r="IE35" s="54"/>
      <c r="IF35" s="54"/>
      <c r="IG35" s="54"/>
      <c r="IH35" s="54" t="s">
        <v>1443</v>
      </c>
      <c r="II35" s="54"/>
      <c r="IJ35" s="54" t="s">
        <v>1445</v>
      </c>
      <c r="IK35" s="54"/>
      <c r="IL35" s="54"/>
      <c r="IM35" s="54"/>
      <c r="IN35" s="54"/>
      <c r="IO35" s="54"/>
      <c r="IP35" s="54"/>
      <c r="IQ35" s="54"/>
      <c r="IR35" s="54"/>
      <c r="IS35" s="54"/>
      <c r="IT35" s="54"/>
      <c r="IU35" s="54"/>
      <c r="IV35" s="54"/>
      <c r="IW35" s="54"/>
      <c r="IX35" s="54"/>
      <c r="IY35" s="54"/>
      <c r="IZ35" s="54"/>
      <c r="JA35" s="54"/>
      <c r="JB35" s="54"/>
      <c r="JC35" s="54"/>
      <c r="JD35" s="54"/>
      <c r="JE35" s="54"/>
      <c r="JF35" s="54" t="s">
        <v>1467</v>
      </c>
      <c r="JG35" s="54"/>
      <c r="JH35" s="54"/>
      <c r="JI35" s="54"/>
      <c r="JJ35" s="54"/>
      <c r="JK35" s="54"/>
      <c r="JL35" s="54"/>
      <c r="JM35" s="54" t="s">
        <v>1484</v>
      </c>
      <c r="JN35" s="54"/>
      <c r="JO35" s="54"/>
      <c r="JP35" s="54"/>
      <c r="JQ35" s="54"/>
      <c r="JR35" s="54"/>
      <c r="JS35" s="54"/>
      <c r="JT35" s="54"/>
      <c r="JU35" s="54"/>
      <c r="JV35" s="54"/>
      <c r="JW35" s="54"/>
      <c r="JX35" s="54"/>
      <c r="JY35" s="54"/>
      <c r="JZ35" s="54"/>
      <c r="KA35" s="54" t="s">
        <v>1488</v>
      </c>
      <c r="KB35" s="54"/>
      <c r="KC35" s="54"/>
      <c r="KD35" s="54"/>
      <c r="KE35" s="54" t="s">
        <v>1492</v>
      </c>
      <c r="KF35" s="54"/>
      <c r="KG35" s="54"/>
      <c r="KH35" s="54"/>
      <c r="KI35" s="54"/>
      <c r="KJ35" s="54"/>
      <c r="KK35" s="54"/>
      <c r="KL35" s="54"/>
      <c r="KM35" s="54" t="s">
        <v>1500</v>
      </c>
      <c r="KN35" s="54"/>
      <c r="KO35" s="54"/>
      <c r="KP35" s="54"/>
      <c r="KQ35" s="54"/>
      <c r="KR35" s="54"/>
      <c r="KS35" s="54"/>
      <c r="KT35" s="54"/>
      <c r="KU35" s="54"/>
      <c r="KV35" s="54"/>
      <c r="KW35" s="54"/>
      <c r="KX35" s="54"/>
      <c r="KY35" s="54"/>
      <c r="KZ35" s="54"/>
      <c r="LA35" s="54"/>
      <c r="LB35" s="54" t="s">
        <v>1516</v>
      </c>
      <c r="LC35" s="54"/>
      <c r="LD35" s="54"/>
      <c r="LE35" s="54" t="s">
        <v>1518</v>
      </c>
      <c r="LF35" s="54"/>
      <c r="LG35" s="54"/>
      <c r="LH35" s="54"/>
      <c r="LI35" s="54"/>
      <c r="LJ35" s="54"/>
      <c r="LK35" s="54"/>
      <c r="LL35" s="54"/>
      <c r="LM35" s="54"/>
      <c r="LN35" s="54"/>
      <c r="LO35" s="54"/>
      <c r="LP35" s="54"/>
      <c r="LQ35" s="54"/>
      <c r="LR35" s="54"/>
      <c r="LS35" s="54"/>
      <c r="LT35" s="54"/>
      <c r="LU35" s="54"/>
      <c r="LV35" s="54"/>
      <c r="LW35" s="54"/>
      <c r="LX35" s="54"/>
      <c r="LY35" s="54"/>
      <c r="LZ35" s="54"/>
      <c r="MA35" s="54"/>
      <c r="MB35" s="54"/>
      <c r="MC35" s="54"/>
      <c r="MD35" s="54"/>
      <c r="ME35" s="54"/>
      <c r="MF35" s="54"/>
      <c r="MG35" s="54"/>
      <c r="MH35" s="54"/>
      <c r="MI35" s="54"/>
      <c r="MJ35" s="54"/>
      <c r="MK35" s="54"/>
      <c r="ML35" s="54"/>
      <c r="MM35" s="54"/>
      <c r="MN35" s="54"/>
      <c r="MO35" s="54"/>
      <c r="MP35" s="54"/>
      <c r="MQ35" s="54"/>
      <c r="MR35" s="54"/>
      <c r="MS35" s="54"/>
      <c r="MT35" s="54"/>
      <c r="MU35" s="54"/>
      <c r="MV35" s="54"/>
      <c r="MW35" s="54"/>
      <c r="MX35" s="54"/>
      <c r="MY35" s="54"/>
      <c r="MZ35" s="54"/>
      <c r="NA35" s="54"/>
      <c r="NB35" s="54"/>
      <c r="NC35" s="54"/>
      <c r="ND35" s="54"/>
      <c r="NE35" s="54"/>
      <c r="NF35" s="54"/>
      <c r="NG35" s="54"/>
      <c r="NH35" s="54"/>
      <c r="NI35" s="54"/>
      <c r="NJ35" s="54"/>
      <c r="NK35" s="54"/>
      <c r="NL35" s="54"/>
      <c r="NM35" s="54"/>
      <c r="NN35" s="54"/>
      <c r="NO35" s="54"/>
      <c r="NP35" s="54"/>
      <c r="NQ35" s="54"/>
      <c r="NR35" s="54"/>
      <c r="NS35" s="54"/>
      <c r="NT35" s="54"/>
      <c r="NU35" s="54"/>
      <c r="NV35" s="54"/>
      <c r="NW35" s="54"/>
      <c r="NX35" s="54"/>
      <c r="NY35" s="54"/>
      <c r="NZ35" s="54"/>
      <c r="OA35" s="54"/>
      <c r="OB35" s="54"/>
      <c r="OC35" s="54"/>
      <c r="OD35" s="54"/>
      <c r="OE35" s="54"/>
      <c r="OF35" s="54"/>
      <c r="OG35" s="54"/>
      <c r="OH35" s="54"/>
      <c r="OI35" s="54"/>
      <c r="OJ35" s="54"/>
      <c r="OK35" s="54"/>
      <c r="OL35" s="54"/>
      <c r="OM35" s="54"/>
      <c r="ON35" s="54"/>
      <c r="OO35" s="54"/>
      <c r="OP35" s="54"/>
      <c r="OQ35" s="54"/>
      <c r="OR35" s="54"/>
      <c r="OS35" s="54"/>
      <c r="OT35" s="54"/>
      <c r="OU35" s="54"/>
      <c r="OV35" s="54"/>
      <c r="OW35" s="54"/>
      <c r="OX35" s="54"/>
      <c r="OY35" s="54"/>
      <c r="OZ35" s="54"/>
      <c r="PA35" s="54"/>
      <c r="PB35" s="54"/>
      <c r="PC35" s="54"/>
      <c r="PD35" s="54"/>
      <c r="PE35" s="54"/>
      <c r="PF35" s="54"/>
      <c r="PG35" s="54"/>
      <c r="PH35" s="54"/>
      <c r="PI35" s="54"/>
      <c r="PJ35" s="54"/>
      <c r="PK35" s="54"/>
      <c r="PL35" s="54"/>
      <c r="PM35" s="54"/>
      <c r="PN35" s="54"/>
      <c r="PO35" s="54"/>
      <c r="PP35" s="54"/>
      <c r="PQ35" s="54"/>
      <c r="PR35" s="54"/>
      <c r="PS35" s="54"/>
      <c r="PT35" s="54"/>
      <c r="PU35" s="54"/>
      <c r="PV35" s="54"/>
      <c r="PW35" s="54"/>
      <c r="PX35" s="54"/>
      <c r="PY35" s="54"/>
      <c r="PZ35" s="54"/>
      <c r="QA35" s="54"/>
      <c r="QB35" s="54"/>
      <c r="QC35" s="54"/>
      <c r="QD35" s="54"/>
      <c r="QE35" s="54"/>
      <c r="QF35" s="54"/>
      <c r="QG35" s="54"/>
      <c r="QH35" s="54"/>
      <c r="QI35" s="54"/>
      <c r="QJ35" s="54"/>
      <c r="QK35" s="54"/>
      <c r="QL35" s="54"/>
      <c r="QM35" s="54"/>
      <c r="QN35" s="54"/>
      <c r="QO35" s="54"/>
      <c r="QP35" s="54"/>
      <c r="QQ35" s="54"/>
      <c r="QR35" s="54"/>
      <c r="QS35" s="54"/>
      <c r="QT35" s="54"/>
      <c r="QU35" s="54"/>
      <c r="QV35" s="54"/>
      <c r="QW35" s="54"/>
      <c r="QX35" s="54"/>
      <c r="QY35" s="54"/>
      <c r="QZ35" s="54"/>
      <c r="RA35" s="54"/>
      <c r="RB35" s="54" t="s">
        <v>1681</v>
      </c>
      <c r="RC35" s="19"/>
      <c r="RE35" s="58" t="s">
        <v>3</v>
      </c>
      <c r="RF35" s="59"/>
      <c r="RG35" s="58"/>
      <c r="RH35" s="59"/>
      <c r="RI35" s="58"/>
      <c r="RJ35" s="58"/>
      <c r="RK35" s="58"/>
      <c r="RL35" s="58"/>
      <c r="RM35" s="59"/>
      <c r="RN35" s="59"/>
    </row>
    <row r="36" spans="2:482" ht="35.1" customHeight="1" x14ac:dyDescent="0.25">
      <c r="B36" s="3">
        <v>3</v>
      </c>
      <c r="C36" s="218" t="s">
        <v>4</v>
      </c>
      <c r="D36" s="218"/>
      <c r="E36" s="218"/>
      <c r="F36" s="218"/>
      <c r="G36" s="218"/>
      <c r="H36" s="15"/>
      <c r="I36" s="15"/>
      <c r="J36" s="15"/>
      <c r="K36" s="15"/>
      <c r="L36" s="15"/>
      <c r="M36" s="15"/>
      <c r="N36" s="15"/>
      <c r="O36" s="15"/>
      <c r="P36" s="15"/>
      <c r="Q36" s="17"/>
      <c r="R36" s="18"/>
      <c r="S36" s="18"/>
      <c r="T36" s="18"/>
      <c r="U36" s="17"/>
      <c r="V36" s="18"/>
      <c r="W36" s="18"/>
      <c r="X36" s="18"/>
      <c r="Y36" s="18"/>
      <c r="Z36" s="18"/>
      <c r="AA36" s="18"/>
      <c r="AB36" s="18"/>
      <c r="AC36" s="18"/>
      <c r="AD36" s="19"/>
      <c r="AE36" s="19"/>
      <c r="AF36" s="19"/>
      <c r="AG36" s="19"/>
      <c r="AH36" s="19"/>
      <c r="AI36" s="20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23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23"/>
      <c r="DH36" s="19"/>
      <c r="DI36" s="19"/>
      <c r="DJ36" s="19"/>
      <c r="DK36" s="19"/>
      <c r="DL36" s="19"/>
      <c r="DM36" s="19"/>
      <c r="DN36" s="23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23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  <c r="GW36" s="19"/>
      <c r="GX36" s="19"/>
      <c r="GY36" s="19"/>
      <c r="GZ36" s="19"/>
      <c r="HA36" s="19"/>
      <c r="HB36" s="19"/>
      <c r="HC36" s="19"/>
      <c r="HD36" s="19"/>
      <c r="HE36" s="19"/>
      <c r="HF36" s="19"/>
      <c r="HG36" s="19"/>
      <c r="HH36" s="19"/>
      <c r="HI36" s="19"/>
      <c r="HJ36" s="19"/>
      <c r="HK36" s="19"/>
      <c r="HL36" s="19"/>
      <c r="HM36" s="19"/>
      <c r="HN36" s="19"/>
      <c r="HO36" s="19"/>
      <c r="HP36" s="19"/>
      <c r="HQ36" s="19"/>
      <c r="HR36" s="19"/>
      <c r="HS36" s="19"/>
      <c r="HT36" s="19"/>
      <c r="HU36" s="19"/>
      <c r="HV36" s="19"/>
      <c r="HW36" s="19"/>
      <c r="HX36" s="19"/>
      <c r="HY36" s="19"/>
      <c r="HZ36" s="19"/>
      <c r="IA36" s="19"/>
      <c r="IB36" s="19"/>
      <c r="IC36" s="19"/>
      <c r="ID36" s="19"/>
      <c r="IE36" s="19"/>
      <c r="IF36" s="19"/>
      <c r="IG36" s="19"/>
      <c r="IH36" s="19"/>
      <c r="II36" s="19"/>
      <c r="IJ36" s="19"/>
      <c r="IK36" s="19"/>
      <c r="IL36" s="19"/>
      <c r="IM36" s="19"/>
      <c r="IN36" s="19"/>
      <c r="IO36" s="19"/>
      <c r="IP36" s="19"/>
      <c r="IQ36" s="19"/>
      <c r="IR36" s="19"/>
      <c r="IS36" s="19"/>
      <c r="IT36" s="19"/>
      <c r="IU36" s="19"/>
      <c r="IV36" s="19"/>
      <c r="IW36" s="19"/>
      <c r="IX36" s="19"/>
      <c r="IY36" s="19"/>
      <c r="IZ36" s="19"/>
      <c r="JA36" s="19"/>
      <c r="JB36" s="19"/>
      <c r="JC36" s="19"/>
      <c r="JD36" s="19"/>
      <c r="JE36" s="19"/>
      <c r="JF36" s="56" t="s">
        <v>1467</v>
      </c>
      <c r="JG36" s="56"/>
      <c r="JH36" s="56"/>
      <c r="JI36" s="63" t="s">
        <v>1731</v>
      </c>
      <c r="JJ36" s="64" t="s">
        <v>1742</v>
      </c>
      <c r="JK36" s="64" t="s">
        <v>1743</v>
      </c>
      <c r="JL36" s="63" t="s">
        <v>1473</v>
      </c>
      <c r="JM36" s="56"/>
      <c r="JN36" s="56"/>
      <c r="JO36" s="56" t="s">
        <v>1730</v>
      </c>
      <c r="JP36" s="56"/>
      <c r="JQ36" s="56"/>
      <c r="JR36" s="56"/>
      <c r="JS36" s="56"/>
      <c r="JT36" s="56"/>
      <c r="JU36" s="56"/>
      <c r="JV36" s="56"/>
      <c r="JW36" s="56"/>
      <c r="JX36" s="56"/>
      <c r="JY36" s="56"/>
      <c r="JZ36" s="56"/>
      <c r="KA36" s="56"/>
      <c r="KB36" s="56"/>
      <c r="KC36" s="56"/>
      <c r="KD36" s="56"/>
      <c r="KE36" s="56"/>
      <c r="KF36" s="56"/>
      <c r="KG36" s="56"/>
      <c r="KH36" s="56"/>
      <c r="KI36" s="56"/>
      <c r="KJ36" s="56"/>
      <c r="KK36" s="56"/>
      <c r="KL36" s="56"/>
      <c r="KM36" s="56"/>
      <c r="KN36" s="56"/>
      <c r="KO36" s="56"/>
      <c r="KP36" s="56"/>
      <c r="KQ36" s="56"/>
      <c r="KR36" s="56"/>
      <c r="KS36" s="56"/>
      <c r="KT36" s="56"/>
      <c r="KU36" s="56"/>
      <c r="KV36" s="56"/>
      <c r="KW36" s="56"/>
      <c r="KX36" s="56"/>
      <c r="KY36" s="56"/>
      <c r="KZ36" s="56"/>
      <c r="LA36" s="56"/>
      <c r="LB36" s="56"/>
      <c r="LC36" s="56"/>
      <c r="LD36" s="56"/>
      <c r="LE36" s="56" t="s">
        <v>1728</v>
      </c>
      <c r="LF36" s="56"/>
      <c r="LG36" s="56"/>
      <c r="LH36" s="56"/>
      <c r="LI36" s="56"/>
      <c r="LJ36" s="56"/>
      <c r="LK36" s="56" t="s">
        <v>1726</v>
      </c>
      <c r="LL36" s="56"/>
      <c r="LM36" s="56"/>
      <c r="LN36" s="56"/>
      <c r="LO36" s="56"/>
      <c r="LP36" s="56"/>
      <c r="LQ36" s="56"/>
      <c r="LR36" s="56" t="s">
        <v>1725</v>
      </c>
      <c r="LS36" s="56"/>
      <c r="LT36" s="56"/>
      <c r="LU36" s="56"/>
      <c r="LV36" s="56"/>
      <c r="LW36" s="56"/>
      <c r="LX36" s="56"/>
      <c r="LY36" s="56"/>
      <c r="LZ36" s="56"/>
      <c r="MA36" s="56" t="s">
        <v>1722</v>
      </c>
      <c r="MB36" s="56"/>
      <c r="MC36" s="56"/>
      <c r="MD36" s="56"/>
      <c r="ME36" s="56" t="s">
        <v>1723</v>
      </c>
      <c r="MF36" s="56"/>
      <c r="MG36" s="56"/>
      <c r="MH36" s="56"/>
      <c r="MI36" s="56"/>
      <c r="MJ36" s="56"/>
      <c r="MK36" s="56"/>
      <c r="ML36" s="56"/>
      <c r="MM36" s="56"/>
      <c r="MN36" s="56"/>
      <c r="MO36" s="56"/>
      <c r="MP36" s="56"/>
      <c r="MQ36" s="56"/>
      <c r="MR36" s="56"/>
      <c r="MS36" s="56"/>
      <c r="MT36" s="56" t="s">
        <v>1717</v>
      </c>
      <c r="MU36" s="56"/>
      <c r="MV36" s="56"/>
      <c r="MW36" s="56"/>
      <c r="MX36" s="56"/>
      <c r="MY36" s="56"/>
      <c r="MZ36" s="56"/>
      <c r="NA36" s="56"/>
      <c r="NB36" s="56"/>
      <c r="NC36" s="56"/>
      <c r="ND36" s="56"/>
      <c r="NE36" s="56"/>
      <c r="NF36" s="56"/>
      <c r="NG36" s="56"/>
      <c r="NH36" s="56"/>
      <c r="NI36" s="56"/>
      <c r="NJ36" s="56"/>
      <c r="NK36" s="56"/>
      <c r="NL36" s="56"/>
      <c r="NM36" s="56"/>
      <c r="NN36" s="56"/>
      <c r="NO36" s="56" t="s">
        <v>1708</v>
      </c>
      <c r="NP36" s="56"/>
      <c r="NQ36" s="56"/>
      <c r="NR36" s="56"/>
      <c r="NS36" s="56"/>
      <c r="NT36" s="56"/>
      <c r="NU36" s="56"/>
      <c r="NV36" s="56" t="s">
        <v>1682</v>
      </c>
      <c r="NW36" s="56"/>
      <c r="NX36" s="56"/>
      <c r="NY36" s="56"/>
      <c r="NZ36" s="56"/>
      <c r="OA36" s="56"/>
      <c r="OB36" s="56"/>
      <c r="OC36" s="56"/>
      <c r="OD36" s="56"/>
      <c r="OE36" s="56"/>
      <c r="OF36" s="56"/>
      <c r="OG36" s="56"/>
      <c r="OH36" s="56"/>
      <c r="OI36" s="56"/>
      <c r="OJ36" s="56"/>
      <c r="OK36" s="56"/>
      <c r="OL36" s="56"/>
      <c r="OM36" s="56"/>
      <c r="ON36" s="56"/>
      <c r="OO36" s="56"/>
      <c r="OP36" s="56"/>
      <c r="OQ36" s="56"/>
      <c r="OR36" s="56"/>
      <c r="OS36" s="56"/>
      <c r="OT36" s="56"/>
      <c r="OU36" s="56"/>
      <c r="OV36" s="56"/>
      <c r="OW36" s="56"/>
      <c r="OX36" s="56"/>
      <c r="OY36" s="56"/>
      <c r="OZ36" s="56"/>
      <c r="PA36" s="56"/>
      <c r="PB36" s="56"/>
      <c r="PC36" s="56"/>
      <c r="PD36" s="56"/>
      <c r="PE36" s="56"/>
      <c r="PF36" s="56"/>
      <c r="PG36" s="56"/>
      <c r="PH36" s="56"/>
      <c r="PI36" s="56"/>
      <c r="PJ36" s="56"/>
      <c r="PK36" s="56"/>
      <c r="PL36" s="56"/>
      <c r="PM36" s="56"/>
      <c r="PN36" s="56"/>
      <c r="PO36" s="56"/>
      <c r="PP36" s="56"/>
      <c r="PQ36" s="56"/>
      <c r="PR36" s="56"/>
      <c r="PS36" s="56"/>
      <c r="PT36" s="56"/>
      <c r="PU36" s="56"/>
      <c r="PV36" s="56"/>
      <c r="PW36" s="56"/>
      <c r="PX36" s="56"/>
      <c r="PY36" s="56"/>
      <c r="PZ36" s="56"/>
      <c r="QA36" s="56"/>
      <c r="QB36" s="56"/>
      <c r="QC36" s="56"/>
      <c r="QD36" s="56"/>
      <c r="QE36" s="56"/>
      <c r="QF36" s="56"/>
      <c r="QG36" s="56"/>
      <c r="QH36" s="56"/>
      <c r="QI36" s="56"/>
      <c r="QJ36" s="56"/>
      <c r="QK36" s="56"/>
      <c r="QL36" s="56"/>
      <c r="QM36" s="56"/>
      <c r="QN36" s="56"/>
      <c r="QO36" s="56"/>
      <c r="QP36" s="56"/>
      <c r="QQ36" s="56"/>
      <c r="QR36" s="56"/>
      <c r="QS36" s="56"/>
      <c r="QT36" s="56"/>
      <c r="QU36" s="56"/>
      <c r="QV36" s="56"/>
      <c r="QW36" s="56"/>
      <c r="QX36" s="56"/>
      <c r="QY36" s="56"/>
      <c r="QZ36" s="56"/>
      <c r="RA36" s="56"/>
      <c r="RB36" s="56" t="s">
        <v>1681</v>
      </c>
      <c r="RC36" s="19"/>
      <c r="RE36" s="58" t="s">
        <v>4</v>
      </c>
      <c r="RF36" s="59"/>
      <c r="RG36" s="58"/>
      <c r="RH36" s="59"/>
      <c r="RI36" s="58"/>
      <c r="RJ36" s="58"/>
      <c r="RK36" s="58"/>
      <c r="RL36" s="58"/>
      <c r="RM36" s="59"/>
      <c r="RN36" s="59"/>
    </row>
    <row r="37" spans="2:482" ht="15.95" customHeight="1" x14ac:dyDescent="0.25">
      <c r="B37" s="3"/>
      <c r="C37" s="241" t="s">
        <v>6</v>
      </c>
      <c r="D37" s="242"/>
      <c r="E37" s="242"/>
      <c r="F37" s="242"/>
      <c r="G37" s="242"/>
      <c r="H37" s="348"/>
      <c r="I37" s="348"/>
      <c r="J37" s="348"/>
      <c r="K37" s="348"/>
      <c r="L37" s="348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2"/>
      <c r="AI37" s="1"/>
      <c r="RE37" s="58"/>
      <c r="RF37" s="59"/>
      <c r="RG37" s="58"/>
      <c r="RH37" s="59"/>
      <c r="RI37" s="58"/>
      <c r="RJ37" s="58"/>
      <c r="RK37" s="58"/>
      <c r="RL37" s="58"/>
      <c r="RM37" s="59"/>
      <c r="RN37" s="59"/>
    </row>
    <row r="38" spans="2:482" ht="35.1" customHeight="1" x14ac:dyDescent="0.25">
      <c r="B38" s="3">
        <v>1</v>
      </c>
      <c r="C38" s="218" t="s">
        <v>8</v>
      </c>
      <c r="D38" s="218"/>
      <c r="E38" s="218"/>
      <c r="F38" s="218"/>
      <c r="G38" s="218"/>
      <c r="H38" s="16"/>
      <c r="I38" s="16"/>
      <c r="J38" s="16"/>
      <c r="K38" s="16"/>
      <c r="L38" s="16"/>
      <c r="M38" s="16"/>
      <c r="N38" s="16"/>
      <c r="O38" s="16"/>
      <c r="P38" s="16"/>
      <c r="Q38" s="17"/>
      <c r="R38" s="18"/>
      <c r="S38" s="18"/>
      <c r="T38" s="18"/>
      <c r="U38" s="17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19"/>
      <c r="DI38" s="19"/>
      <c r="DJ38" s="19"/>
      <c r="DK38" s="19"/>
      <c r="DL38" s="19"/>
      <c r="DM38" s="19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43" t="s">
        <v>1764</v>
      </c>
      <c r="HC38" s="43"/>
      <c r="HD38" s="43"/>
      <c r="HE38" s="43"/>
      <c r="HF38" s="43"/>
      <c r="HG38" s="43"/>
      <c r="HH38" s="43"/>
      <c r="HI38" s="43"/>
      <c r="HJ38" s="65" t="s">
        <v>1758</v>
      </c>
      <c r="HK38" s="66" t="s">
        <v>1759</v>
      </c>
      <c r="HL38" s="65" t="s">
        <v>1757</v>
      </c>
      <c r="HM38" s="43" t="s">
        <v>1422</v>
      </c>
      <c r="HN38" s="43"/>
      <c r="HO38" s="43"/>
      <c r="HP38" s="43"/>
      <c r="HQ38" s="43"/>
      <c r="HR38" s="43"/>
      <c r="HS38" s="43"/>
      <c r="HT38" s="43"/>
      <c r="HU38" s="43" t="s">
        <v>1753</v>
      </c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  <c r="IU38" s="43"/>
      <c r="IV38" s="43"/>
      <c r="IW38" s="43"/>
      <c r="IX38" s="43"/>
      <c r="IY38" s="43"/>
      <c r="IZ38" s="43"/>
      <c r="JA38" s="43"/>
      <c r="JB38" s="43"/>
      <c r="JC38" s="43"/>
      <c r="JD38" s="43"/>
      <c r="JE38" s="43"/>
      <c r="JF38" s="43" t="s">
        <v>1467</v>
      </c>
      <c r="JG38" s="43"/>
      <c r="JH38" s="43"/>
      <c r="JI38" s="43"/>
      <c r="JJ38" s="43"/>
      <c r="JK38" s="43" t="s">
        <v>1472</v>
      </c>
      <c r="JL38" s="43"/>
      <c r="JM38" s="43"/>
      <c r="JN38" s="43"/>
      <c r="JO38" s="43" t="s">
        <v>1476</v>
      </c>
      <c r="JP38" s="43"/>
      <c r="JQ38" s="43"/>
      <c r="JR38" s="43"/>
      <c r="JS38" s="43"/>
      <c r="JT38" s="43"/>
      <c r="JU38" s="43"/>
      <c r="JV38" s="43"/>
      <c r="JW38" s="43"/>
      <c r="JX38" s="43"/>
      <c r="JY38" s="43"/>
      <c r="JZ38" s="43"/>
      <c r="KA38" s="43" t="s">
        <v>1488</v>
      </c>
      <c r="KB38" s="43"/>
      <c r="KC38" s="43"/>
      <c r="KD38" s="43"/>
      <c r="KE38" s="43"/>
      <c r="KF38" s="43"/>
      <c r="KG38" s="43"/>
      <c r="KH38" s="43"/>
      <c r="KI38" s="43"/>
      <c r="KJ38" s="43"/>
      <c r="KK38" s="43"/>
      <c r="KL38" s="43"/>
      <c r="KM38" s="43"/>
      <c r="KN38" s="43"/>
      <c r="KO38" s="43"/>
      <c r="KP38" s="43"/>
      <c r="KQ38" s="43"/>
      <c r="KR38" s="43"/>
      <c r="KS38" s="43"/>
      <c r="KT38" s="43"/>
      <c r="KU38" s="43"/>
      <c r="KV38" s="43"/>
      <c r="KW38" s="43"/>
      <c r="KX38" s="43"/>
      <c r="KY38" s="43"/>
      <c r="KZ38" s="43"/>
      <c r="LA38" s="43"/>
      <c r="LB38" s="43"/>
      <c r="LC38" s="43"/>
      <c r="LD38" s="43"/>
      <c r="LE38" s="43"/>
      <c r="LF38" s="43"/>
      <c r="LG38" s="43"/>
      <c r="LH38" s="43"/>
      <c r="LI38" s="43"/>
      <c r="LJ38" s="43"/>
      <c r="LK38" s="43"/>
      <c r="LL38" s="43"/>
      <c r="LM38" s="43"/>
      <c r="LN38" s="43"/>
      <c r="LO38" s="43"/>
      <c r="LP38" s="43"/>
      <c r="LQ38" s="43"/>
      <c r="LR38" s="43"/>
      <c r="LS38" s="43"/>
      <c r="LT38" s="43"/>
      <c r="LU38" s="43"/>
      <c r="LV38" s="43"/>
      <c r="LW38" s="43"/>
      <c r="LX38" s="43"/>
      <c r="LY38" s="43"/>
      <c r="LZ38" s="43"/>
      <c r="MA38" s="43"/>
      <c r="MB38" s="43"/>
      <c r="MC38" s="43"/>
      <c r="MD38" s="43"/>
      <c r="ME38" s="43"/>
      <c r="MF38" s="43"/>
      <c r="MG38" s="43"/>
      <c r="MH38" s="43"/>
      <c r="MI38" s="43"/>
      <c r="MJ38" s="43"/>
      <c r="MK38" s="43"/>
      <c r="ML38" s="43"/>
      <c r="MM38" s="43"/>
      <c r="MN38" s="43"/>
      <c r="MO38" s="43"/>
      <c r="MP38" s="43"/>
      <c r="MQ38" s="43"/>
      <c r="MR38" s="43"/>
      <c r="MS38" s="43"/>
      <c r="MT38" s="43"/>
      <c r="MU38" s="43"/>
      <c r="MV38" s="43"/>
      <c r="MW38" s="43"/>
      <c r="MX38" s="43"/>
      <c r="MY38" s="43"/>
      <c r="MZ38" s="43"/>
      <c r="NA38" s="43"/>
      <c r="NB38" s="43"/>
      <c r="NC38" s="43"/>
      <c r="ND38" s="43"/>
      <c r="NE38" s="43"/>
      <c r="NF38" s="43"/>
      <c r="NG38" s="43"/>
      <c r="NH38" s="43"/>
      <c r="NI38" s="43"/>
      <c r="NJ38" s="43"/>
      <c r="NK38" s="43"/>
      <c r="NL38" s="43"/>
      <c r="NM38" s="43"/>
      <c r="NN38" s="43"/>
      <c r="NO38" s="43"/>
      <c r="NP38" s="43"/>
      <c r="NQ38" s="43"/>
      <c r="NR38" s="43"/>
      <c r="NS38" s="43"/>
      <c r="NT38" s="43"/>
      <c r="NU38" s="43"/>
      <c r="NV38" s="43"/>
      <c r="NW38" s="43"/>
      <c r="NX38" s="43"/>
      <c r="NY38" s="43"/>
      <c r="NZ38" s="43"/>
      <c r="OA38" s="43"/>
      <c r="OB38" s="43"/>
      <c r="OC38" s="43"/>
      <c r="OD38" s="43"/>
      <c r="OE38" s="43"/>
      <c r="OF38" s="43"/>
      <c r="OG38" s="43"/>
      <c r="OH38" s="43"/>
      <c r="OI38" s="43"/>
      <c r="OJ38" s="43"/>
      <c r="OK38" s="43"/>
      <c r="OL38" s="43"/>
      <c r="OM38" s="43"/>
      <c r="ON38" s="43"/>
      <c r="OO38" s="43"/>
      <c r="OP38" s="43"/>
      <c r="OQ38" s="43"/>
      <c r="OR38" s="43"/>
      <c r="OS38" s="43"/>
      <c r="OT38" s="43"/>
      <c r="OU38" s="43"/>
      <c r="OV38" s="43"/>
      <c r="OW38" s="43"/>
      <c r="OX38" s="43"/>
      <c r="OY38" s="43"/>
      <c r="OZ38" s="43"/>
      <c r="PA38" s="43"/>
      <c r="PB38" s="43"/>
      <c r="PC38" s="43"/>
      <c r="PD38" s="43"/>
      <c r="PE38" s="43"/>
      <c r="PF38" s="43"/>
      <c r="PG38" s="43"/>
      <c r="PH38" s="43"/>
      <c r="PI38" s="43"/>
      <c r="PJ38" s="43"/>
      <c r="PK38" s="43"/>
      <c r="PL38" s="43"/>
      <c r="PM38" s="43"/>
      <c r="PN38" s="43"/>
      <c r="PO38" s="43"/>
      <c r="PP38" s="43"/>
      <c r="PQ38" s="43"/>
      <c r="PR38" s="43"/>
      <c r="PS38" s="43"/>
      <c r="PT38" s="43"/>
      <c r="PU38" s="43"/>
      <c r="PV38" s="43"/>
      <c r="PW38" s="43"/>
      <c r="PX38" s="43"/>
      <c r="PY38" s="43"/>
      <c r="PZ38" s="43"/>
      <c r="QA38" s="43"/>
      <c r="QB38" s="43"/>
      <c r="QC38" s="43"/>
      <c r="QD38" s="43"/>
      <c r="QE38" s="43"/>
      <c r="QF38" s="43"/>
      <c r="QG38" s="43"/>
      <c r="QH38" s="43"/>
      <c r="QI38" s="43"/>
      <c r="QJ38" s="43"/>
      <c r="QK38" s="43"/>
      <c r="QL38" s="43"/>
      <c r="QM38" s="43"/>
      <c r="QN38" s="43"/>
      <c r="QO38" s="43"/>
      <c r="QP38" s="43"/>
      <c r="QQ38" s="43"/>
      <c r="QR38" s="43"/>
      <c r="QS38" s="43"/>
      <c r="QT38" s="43"/>
      <c r="QU38" s="43"/>
      <c r="QV38" s="43"/>
      <c r="QW38" s="43"/>
      <c r="QX38" s="43"/>
      <c r="QY38" s="43"/>
      <c r="QZ38" s="43"/>
      <c r="RA38" s="43"/>
      <c r="RB38" s="43" t="s">
        <v>1681</v>
      </c>
      <c r="RC38" s="19"/>
      <c r="RE38" s="58" t="s">
        <v>8</v>
      </c>
      <c r="RF38" s="59"/>
      <c r="RG38" s="58"/>
      <c r="RH38" s="59"/>
      <c r="RI38" s="58"/>
      <c r="RJ38" s="58"/>
      <c r="RK38" s="58"/>
      <c r="RL38" s="58"/>
      <c r="RM38" s="59"/>
      <c r="RN38" s="59"/>
    </row>
    <row r="39" spans="2:482" ht="35.1" customHeight="1" x14ac:dyDescent="0.25">
      <c r="B39" s="3">
        <v>2</v>
      </c>
      <c r="C39" s="218" t="s">
        <v>9</v>
      </c>
      <c r="D39" s="218"/>
      <c r="E39" s="218"/>
      <c r="F39" s="218"/>
      <c r="G39" s="218"/>
      <c r="H39" s="15"/>
      <c r="I39" s="15"/>
      <c r="J39" s="15"/>
      <c r="K39" s="15"/>
      <c r="L39" s="15"/>
      <c r="M39" s="15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38" t="s">
        <v>1319</v>
      </c>
      <c r="DO39" s="38"/>
      <c r="DP39" s="38"/>
      <c r="DQ39" s="38"/>
      <c r="DR39" s="38"/>
      <c r="DS39" s="38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  <c r="EH39" s="38"/>
      <c r="EI39" s="38"/>
      <c r="EJ39" s="38"/>
      <c r="EK39" s="38"/>
      <c r="EL39" s="38"/>
      <c r="EM39" s="38"/>
      <c r="EN39" s="38"/>
      <c r="EO39" s="38"/>
      <c r="EP39" s="38"/>
      <c r="EQ39" s="38"/>
      <c r="ER39" s="38"/>
      <c r="ES39" s="38"/>
      <c r="ET39" s="38"/>
      <c r="EU39" s="38"/>
      <c r="EV39" s="38"/>
      <c r="EW39" s="38"/>
      <c r="EX39" s="38"/>
      <c r="EY39" s="38"/>
      <c r="EZ39" s="38"/>
      <c r="FA39" s="38"/>
      <c r="FB39" s="38"/>
      <c r="FC39" s="38"/>
      <c r="FD39" s="38"/>
      <c r="FE39" s="38"/>
      <c r="FF39" s="38"/>
      <c r="FG39" s="38"/>
      <c r="FH39" s="38"/>
      <c r="FI39" s="38"/>
      <c r="FJ39" s="38"/>
      <c r="FK39" s="38"/>
      <c r="FL39" s="38"/>
      <c r="FM39" s="38"/>
      <c r="FN39" s="38"/>
      <c r="FO39" s="38"/>
      <c r="FP39" s="38"/>
      <c r="FQ39" s="38"/>
      <c r="FR39" s="38"/>
      <c r="FS39" s="38"/>
      <c r="FT39" s="38"/>
      <c r="FU39" s="38"/>
      <c r="FV39" s="38"/>
      <c r="FW39" s="38"/>
      <c r="FX39" s="38"/>
      <c r="FY39" s="38"/>
      <c r="FZ39" s="38"/>
      <c r="GA39" s="38"/>
      <c r="GB39" s="38"/>
      <c r="GC39" s="38"/>
      <c r="GD39" s="38"/>
      <c r="GE39" s="38"/>
      <c r="GF39" s="38"/>
      <c r="GG39" s="38"/>
      <c r="GH39" s="38"/>
      <c r="GI39" s="38"/>
      <c r="GJ39" s="38"/>
      <c r="GK39" s="38"/>
      <c r="GL39" s="38"/>
      <c r="GM39" s="38"/>
      <c r="GN39" s="38"/>
      <c r="GO39" s="38"/>
      <c r="GP39" s="38"/>
      <c r="GQ39" s="38"/>
      <c r="GR39" s="38"/>
      <c r="GS39" s="38"/>
      <c r="GT39" s="38"/>
      <c r="GU39" s="38"/>
      <c r="GV39" s="38"/>
      <c r="GW39" s="38"/>
      <c r="GX39" s="38"/>
      <c r="GY39" s="38"/>
      <c r="GZ39" s="38"/>
      <c r="HA39" s="38"/>
      <c r="HB39" s="38"/>
      <c r="HC39" s="38"/>
      <c r="HD39" s="38"/>
      <c r="HE39" s="38"/>
      <c r="HF39" s="38"/>
      <c r="HG39" s="38"/>
      <c r="HH39" s="38"/>
      <c r="HI39" s="38"/>
      <c r="HJ39" s="38"/>
      <c r="HK39" s="38"/>
      <c r="HL39" s="38"/>
      <c r="HM39" s="38"/>
      <c r="HN39" s="38"/>
      <c r="HO39" s="38"/>
      <c r="HP39" s="38"/>
      <c r="HQ39" s="38"/>
      <c r="HR39" s="38"/>
      <c r="HS39" s="38"/>
      <c r="HT39" s="38"/>
      <c r="HU39" s="38"/>
      <c r="HV39" s="38"/>
      <c r="HW39" s="38"/>
      <c r="HX39" s="38"/>
      <c r="HY39" s="38"/>
      <c r="HZ39" s="38"/>
      <c r="IA39" s="38"/>
      <c r="IB39" s="38"/>
      <c r="IC39" s="38" t="s">
        <v>1438</v>
      </c>
      <c r="ID39" s="42"/>
      <c r="IE39" s="42"/>
      <c r="IF39" s="42"/>
      <c r="IG39" s="42"/>
      <c r="IH39" s="42"/>
      <c r="II39" s="42"/>
      <c r="IJ39" s="42"/>
      <c r="IK39" s="42"/>
      <c r="IL39" s="42"/>
      <c r="IM39" s="42"/>
      <c r="IN39" s="42"/>
      <c r="IO39" s="42"/>
      <c r="IP39" s="42"/>
      <c r="IQ39" s="42"/>
      <c r="IR39" s="42"/>
      <c r="IS39" s="42"/>
      <c r="IT39" s="42"/>
      <c r="IU39" s="42"/>
      <c r="IV39" s="42"/>
      <c r="IW39" s="42"/>
      <c r="IX39" s="42"/>
      <c r="IY39" s="42"/>
      <c r="IZ39" s="42"/>
      <c r="JA39" s="42"/>
      <c r="JB39" s="42"/>
      <c r="JC39" s="42"/>
      <c r="JD39" s="42"/>
      <c r="JE39" s="42"/>
      <c r="JF39" s="42"/>
      <c r="JG39" s="42"/>
      <c r="JH39" s="42"/>
      <c r="JI39" s="42"/>
      <c r="JJ39" s="42"/>
      <c r="JK39" s="42"/>
      <c r="JL39" s="42"/>
      <c r="JM39" s="42"/>
      <c r="JN39" s="42"/>
      <c r="JO39" s="42"/>
      <c r="JP39" s="42"/>
      <c r="JQ39" s="42"/>
      <c r="JR39" s="42"/>
      <c r="JS39" s="42"/>
      <c r="JT39" s="42"/>
      <c r="JU39" s="42"/>
      <c r="JV39" s="42"/>
      <c r="JW39" s="42"/>
      <c r="JX39" s="42"/>
      <c r="JY39" s="42"/>
      <c r="JZ39" s="42"/>
      <c r="KA39" s="42"/>
      <c r="KB39" s="42"/>
      <c r="KC39" s="42"/>
      <c r="KD39" s="42"/>
      <c r="KE39" s="42"/>
      <c r="KF39" s="42"/>
      <c r="KG39" s="42"/>
      <c r="KH39" s="42"/>
      <c r="KI39" s="42"/>
      <c r="KJ39" s="42"/>
      <c r="KK39" s="42"/>
      <c r="KL39" s="42"/>
      <c r="KM39" s="42"/>
      <c r="KN39" s="42"/>
      <c r="KO39" s="42"/>
      <c r="KP39" s="42"/>
      <c r="KQ39" s="42"/>
      <c r="KR39" s="42"/>
      <c r="KS39" s="42"/>
      <c r="KT39" s="42"/>
      <c r="KU39" s="42"/>
      <c r="KV39" s="42"/>
      <c r="KW39" s="42"/>
      <c r="KX39" s="42"/>
      <c r="KY39" s="42"/>
      <c r="KZ39" s="42"/>
      <c r="LA39" s="42"/>
      <c r="LB39" s="42"/>
      <c r="LC39" s="42"/>
      <c r="LD39" s="42"/>
      <c r="LE39" s="42"/>
      <c r="LF39" s="42"/>
      <c r="LG39" s="42"/>
      <c r="LH39" s="42"/>
      <c r="LI39" s="42"/>
      <c r="LJ39" s="42"/>
      <c r="LK39" s="42"/>
      <c r="LL39" s="42"/>
      <c r="LM39" s="42"/>
      <c r="LN39" s="42"/>
      <c r="LO39" s="42"/>
      <c r="LP39" s="42"/>
      <c r="LQ39" s="42"/>
      <c r="LR39" s="42"/>
      <c r="LS39" s="42"/>
      <c r="LT39" s="42"/>
      <c r="LU39" s="42"/>
      <c r="LV39" s="42"/>
      <c r="LW39" s="42"/>
      <c r="LX39" s="42"/>
      <c r="LY39" s="42"/>
      <c r="LZ39" s="42"/>
      <c r="MA39" s="42"/>
      <c r="MB39" s="42"/>
      <c r="MC39" s="42"/>
      <c r="MD39" s="42"/>
      <c r="ME39" s="42"/>
      <c r="MF39" s="42"/>
      <c r="MG39" s="42"/>
      <c r="MH39" s="42"/>
      <c r="MI39" s="42"/>
      <c r="MJ39" s="42"/>
      <c r="MK39" s="42"/>
      <c r="ML39" s="42"/>
      <c r="MM39" s="42"/>
      <c r="MN39" s="42"/>
      <c r="MO39" s="42"/>
      <c r="MP39" s="42"/>
      <c r="MQ39" s="42"/>
      <c r="MR39" s="42"/>
      <c r="MS39" s="42"/>
      <c r="MT39" s="42"/>
      <c r="MU39" s="42"/>
      <c r="MV39" s="42"/>
      <c r="MW39" s="42"/>
      <c r="MX39" s="42"/>
      <c r="MY39" s="42"/>
      <c r="MZ39" s="42"/>
      <c r="NA39" s="42"/>
      <c r="NB39" s="42"/>
      <c r="NC39" s="42"/>
      <c r="ND39" s="42"/>
      <c r="NE39" s="42"/>
      <c r="NF39" s="42"/>
      <c r="NG39" s="42"/>
      <c r="NH39" s="42"/>
      <c r="NI39" s="42"/>
      <c r="NJ39" s="42"/>
      <c r="NK39" s="42"/>
      <c r="NL39" s="42"/>
      <c r="NM39" s="42"/>
      <c r="NN39" s="42"/>
      <c r="NO39" s="42"/>
      <c r="NP39" s="42"/>
      <c r="NQ39" s="42"/>
      <c r="NR39" s="42"/>
      <c r="NS39" s="42"/>
      <c r="NT39" s="42"/>
      <c r="NU39" s="42"/>
      <c r="NV39" s="42"/>
      <c r="NW39" s="42"/>
      <c r="NX39" s="42"/>
      <c r="NY39" s="42"/>
      <c r="NZ39" s="42"/>
      <c r="OA39" s="42"/>
      <c r="OB39" s="42"/>
      <c r="OC39" s="42"/>
      <c r="OD39" s="42"/>
      <c r="OE39" s="42"/>
      <c r="OF39" s="42"/>
      <c r="OG39" s="42"/>
      <c r="OH39" s="42"/>
      <c r="OI39" s="42"/>
      <c r="OJ39" s="42"/>
      <c r="OK39" s="42"/>
      <c r="OL39" s="42"/>
      <c r="OM39" s="42"/>
      <c r="ON39" s="42"/>
      <c r="OO39" s="42"/>
      <c r="OP39" s="42"/>
      <c r="OQ39" s="42"/>
      <c r="OR39" s="42"/>
      <c r="OS39" s="42"/>
      <c r="OT39" s="42"/>
      <c r="OU39" s="42"/>
      <c r="OV39" s="42"/>
      <c r="OW39" s="42"/>
      <c r="OX39" s="42"/>
      <c r="OY39" s="42"/>
      <c r="OZ39" s="42"/>
      <c r="PA39" s="42"/>
      <c r="PB39" s="42"/>
      <c r="PC39" s="42"/>
      <c r="PD39" s="42"/>
      <c r="PE39" s="42"/>
      <c r="PF39" s="42"/>
      <c r="PG39" s="42"/>
      <c r="PH39" s="42"/>
      <c r="PI39" s="42"/>
      <c r="PJ39" s="42"/>
      <c r="PK39" s="42"/>
      <c r="PL39" s="42"/>
      <c r="PM39" s="42"/>
      <c r="PN39" s="42"/>
      <c r="PO39" s="42"/>
      <c r="PP39" s="42"/>
      <c r="PQ39" s="42"/>
      <c r="PR39" s="42"/>
      <c r="PS39" s="42"/>
      <c r="PT39" s="42"/>
      <c r="PU39" s="42"/>
      <c r="PV39" s="42"/>
      <c r="PW39" s="42"/>
      <c r="PX39" s="42"/>
      <c r="PY39" s="42"/>
      <c r="PZ39" s="42"/>
      <c r="QA39" s="42"/>
      <c r="QB39" s="42"/>
      <c r="QC39" s="42"/>
      <c r="QD39" s="42"/>
      <c r="QE39" s="42"/>
      <c r="QF39" s="42"/>
      <c r="QG39" s="42"/>
      <c r="QH39" s="42"/>
      <c r="QI39" s="42"/>
      <c r="QJ39" s="42"/>
      <c r="QK39" s="42"/>
      <c r="QL39" s="42"/>
      <c r="QM39" s="42"/>
      <c r="QN39" s="42"/>
      <c r="QO39" s="42"/>
      <c r="QP39" s="42"/>
      <c r="QQ39" s="42"/>
      <c r="QR39" s="42"/>
      <c r="QS39" s="42"/>
      <c r="QT39" s="42"/>
      <c r="QU39" s="42"/>
      <c r="QV39" s="42"/>
      <c r="QW39" s="42"/>
      <c r="QX39" s="42"/>
      <c r="QY39" s="42"/>
      <c r="QZ39" s="42"/>
      <c r="RA39" s="42"/>
      <c r="RB39" s="42"/>
      <c r="RC39" s="38" t="s">
        <v>1680</v>
      </c>
      <c r="RE39" s="58" t="s">
        <v>9</v>
      </c>
      <c r="RF39" s="59"/>
      <c r="RG39" s="58"/>
      <c r="RH39" s="59"/>
      <c r="RI39" s="58"/>
      <c r="RJ39" s="58"/>
      <c r="RK39" s="58"/>
      <c r="RL39" s="58"/>
      <c r="RM39" s="59"/>
      <c r="RN39" s="59"/>
    </row>
    <row r="42" spans="2:482" x14ac:dyDescent="0.2">
      <c r="C42" t="s">
        <v>1685</v>
      </c>
      <c r="E42" t="s">
        <v>1684</v>
      </c>
    </row>
    <row r="44" spans="2:482" ht="18" x14ac:dyDescent="0.25">
      <c r="C44" s="137"/>
      <c r="D44" s="138" t="s">
        <v>1686</v>
      </c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 t="s">
        <v>1686</v>
      </c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6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67" t="s">
        <v>1778</v>
      </c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68"/>
    </row>
    <row r="45" spans="2:482" ht="15" thickBot="1" x14ac:dyDescent="0.25">
      <c r="C45" s="169"/>
      <c r="D45" t="s">
        <v>1687</v>
      </c>
      <c r="AF45" t="s">
        <v>1695</v>
      </c>
      <c r="BB45" s="13"/>
      <c r="BD45" t="s">
        <v>1697</v>
      </c>
      <c r="CJ45" t="s">
        <v>1699</v>
      </c>
      <c r="DI45" s="13"/>
    </row>
    <row r="46" spans="2:482" ht="15" thickBot="1" x14ac:dyDescent="0.25">
      <c r="C46" s="169"/>
      <c r="D46" s="349" t="s">
        <v>1</v>
      </c>
      <c r="E46" s="347"/>
      <c r="F46" s="347"/>
      <c r="G46" s="347" t="s">
        <v>1689</v>
      </c>
      <c r="H46" s="347"/>
      <c r="I46" s="347"/>
      <c r="J46" s="347"/>
      <c r="K46" s="347" t="s">
        <v>1690</v>
      </c>
      <c r="L46" s="347"/>
      <c r="M46" s="347"/>
      <c r="N46" s="347"/>
      <c r="O46" s="347"/>
      <c r="P46" s="347" t="s">
        <v>1691</v>
      </c>
      <c r="Q46" s="347"/>
      <c r="R46" s="347"/>
      <c r="S46" s="347"/>
      <c r="T46" s="347"/>
      <c r="U46" s="350" t="s">
        <v>1686</v>
      </c>
      <c r="V46" s="351"/>
      <c r="W46" s="351"/>
      <c r="X46" s="351"/>
      <c r="Y46" s="352"/>
      <c r="Z46" s="156"/>
      <c r="AA46" s="156"/>
      <c r="AB46" s="156"/>
      <c r="AC46" s="298" t="s">
        <v>1</v>
      </c>
      <c r="AD46" s="251"/>
      <c r="AE46" s="251"/>
      <c r="AF46" s="251"/>
      <c r="AG46" s="251"/>
      <c r="AH46" s="251"/>
      <c r="AI46" s="251" t="s">
        <v>1689</v>
      </c>
      <c r="AJ46" s="251"/>
      <c r="AK46" s="251"/>
      <c r="AL46" s="251"/>
      <c r="AM46" s="251" t="s">
        <v>1690</v>
      </c>
      <c r="AN46" s="251"/>
      <c r="AO46" s="251"/>
      <c r="AP46" s="251"/>
      <c r="AQ46" s="251"/>
      <c r="AR46" s="251" t="s">
        <v>1691</v>
      </c>
      <c r="AS46" s="251"/>
      <c r="AT46" s="251"/>
      <c r="AU46" s="251"/>
      <c r="AV46" s="251"/>
      <c r="AW46" s="459" t="s">
        <v>1686</v>
      </c>
      <c r="AX46" s="460"/>
      <c r="AY46" s="460"/>
      <c r="AZ46" s="460"/>
      <c r="BA46" s="461"/>
      <c r="BB46" s="176"/>
      <c r="BC46" s="156"/>
      <c r="BD46" s="389" t="s">
        <v>1</v>
      </c>
      <c r="BE46" s="388"/>
      <c r="BF46" s="388"/>
      <c r="BG46" s="388"/>
      <c r="BH46" s="388"/>
      <c r="BI46" s="388"/>
      <c r="BJ46" s="388" t="s">
        <v>1689</v>
      </c>
      <c r="BK46" s="388"/>
      <c r="BL46" s="388"/>
      <c r="BM46" s="388"/>
      <c r="BN46" s="388" t="s">
        <v>1690</v>
      </c>
      <c r="BO46" s="388"/>
      <c r="BP46" s="388"/>
      <c r="BQ46" s="388"/>
      <c r="BR46" s="388"/>
      <c r="BS46" s="388" t="s">
        <v>1691</v>
      </c>
      <c r="BT46" s="388"/>
      <c r="BU46" s="388"/>
      <c r="BV46" s="388"/>
      <c r="BW46" s="356"/>
      <c r="BX46" s="456" t="s">
        <v>1686</v>
      </c>
      <c r="BY46" s="457"/>
      <c r="BZ46" s="457"/>
      <c r="CA46" s="457"/>
      <c r="CB46" s="458"/>
      <c r="CC46" s="156"/>
      <c r="CD46" s="156"/>
      <c r="CE46" s="156"/>
      <c r="CF46" s="156"/>
      <c r="CG46" s="156"/>
      <c r="CH46" s="156"/>
      <c r="CI46" s="156"/>
      <c r="CJ46" s="447" t="s">
        <v>1</v>
      </c>
      <c r="CK46" s="386"/>
      <c r="CL46" s="386"/>
      <c r="CM46" s="386"/>
      <c r="CN46" s="386"/>
      <c r="CO46" s="386"/>
      <c r="CP46" s="386" t="s">
        <v>1689</v>
      </c>
      <c r="CQ46" s="386"/>
      <c r="CR46" s="386"/>
      <c r="CS46" s="386"/>
      <c r="CT46" s="386" t="s">
        <v>1690</v>
      </c>
      <c r="CU46" s="386"/>
      <c r="CV46" s="386"/>
      <c r="CW46" s="386"/>
      <c r="CX46" s="386"/>
      <c r="CY46" s="386" t="s">
        <v>1691</v>
      </c>
      <c r="CZ46" s="386"/>
      <c r="DA46" s="386"/>
      <c r="DB46" s="386"/>
      <c r="DC46" s="386"/>
      <c r="DD46" s="350" t="s">
        <v>1686</v>
      </c>
      <c r="DE46" s="351"/>
      <c r="DF46" s="351"/>
      <c r="DG46" s="351"/>
      <c r="DH46" s="352"/>
      <c r="DI46" s="170"/>
      <c r="DJ46" s="160"/>
      <c r="DK46" s="61"/>
      <c r="DL46" s="61"/>
      <c r="DO46" s="62"/>
      <c r="DP46" s="62"/>
      <c r="DQ46" s="62"/>
      <c r="DR46" s="62"/>
      <c r="DS46" s="62"/>
      <c r="DT46" s="62"/>
      <c r="DU46" s="62"/>
      <c r="DV46" s="62"/>
      <c r="DW46" s="62"/>
      <c r="DX46" s="62"/>
      <c r="DY46" s="62"/>
      <c r="DZ46" s="62"/>
      <c r="EA46" s="62"/>
      <c r="EB46" s="62"/>
      <c r="EC46" s="62"/>
      <c r="ED46" s="62"/>
      <c r="EE46" s="62"/>
      <c r="EF46" s="62"/>
      <c r="EG46" s="62"/>
      <c r="EH46" s="62"/>
      <c r="EI46" s="62"/>
      <c r="EJ46" s="62"/>
      <c r="EK46" s="62"/>
      <c r="EL46" s="62"/>
      <c r="EM46" s="62"/>
    </row>
    <row r="47" spans="2:482" x14ac:dyDescent="0.2">
      <c r="C47" s="169"/>
      <c r="D47" s="321" t="s">
        <v>1688</v>
      </c>
      <c r="E47" s="322"/>
      <c r="F47" s="323"/>
      <c r="G47" s="326">
        <v>-0.64</v>
      </c>
      <c r="H47" s="326"/>
      <c r="I47" s="326"/>
      <c r="J47" s="326"/>
      <c r="K47" s="326">
        <v>44.426000000000002</v>
      </c>
      <c r="L47" s="326"/>
      <c r="M47" s="326"/>
      <c r="N47" s="326"/>
      <c r="O47" s="326"/>
      <c r="P47" s="328">
        <f t="shared" ref="P47:P54" si="0">(K47-G47)*1000</f>
        <v>45066</v>
      </c>
      <c r="Q47" s="328"/>
      <c r="R47" s="328"/>
      <c r="S47" s="328"/>
      <c r="T47" s="328"/>
      <c r="U47" s="329"/>
      <c r="V47" s="322"/>
      <c r="W47" s="322"/>
      <c r="X47" s="322"/>
      <c r="Y47" s="330"/>
      <c r="Z47" s="156"/>
      <c r="AA47" s="156"/>
      <c r="AB47" s="156"/>
      <c r="AC47" s="260" t="s">
        <v>1688</v>
      </c>
      <c r="AD47" s="261"/>
      <c r="AE47" s="261"/>
      <c r="AF47" s="261"/>
      <c r="AG47" s="261"/>
      <c r="AH47" s="262"/>
      <c r="AI47" s="277">
        <v>45.58</v>
      </c>
      <c r="AJ47" s="277"/>
      <c r="AK47" s="277"/>
      <c r="AL47" s="277"/>
      <c r="AM47" s="277">
        <v>89.867000000000004</v>
      </c>
      <c r="AN47" s="277"/>
      <c r="AO47" s="277"/>
      <c r="AP47" s="277"/>
      <c r="AQ47" s="277"/>
      <c r="AR47" s="327">
        <f t="shared" ref="AR47:AR56" si="1">(AM47-AI47)*1000</f>
        <v>44287.000000000007</v>
      </c>
      <c r="AS47" s="327"/>
      <c r="AT47" s="327"/>
      <c r="AU47" s="327"/>
      <c r="AV47" s="327"/>
      <c r="AW47" s="95"/>
      <c r="AX47" s="96"/>
      <c r="AY47" s="96"/>
      <c r="AZ47" s="96"/>
      <c r="BA47" s="97"/>
      <c r="BB47" s="176"/>
      <c r="BC47" s="156"/>
      <c r="BD47" s="389" t="s">
        <v>1688</v>
      </c>
      <c r="BE47" s="388"/>
      <c r="BF47" s="388"/>
      <c r="BG47" s="388"/>
      <c r="BH47" s="388"/>
      <c r="BI47" s="388"/>
      <c r="BJ47" s="387">
        <v>90.58</v>
      </c>
      <c r="BK47" s="387"/>
      <c r="BL47" s="387"/>
      <c r="BM47" s="387"/>
      <c r="BN47" s="387">
        <v>159.96</v>
      </c>
      <c r="BO47" s="387"/>
      <c r="BP47" s="387"/>
      <c r="BQ47" s="387"/>
      <c r="BR47" s="387"/>
      <c r="BS47" s="388">
        <f t="shared" ref="BS47:BS55" si="2">(BN47-BJ47)*1000</f>
        <v>69380.000000000015</v>
      </c>
      <c r="BT47" s="388"/>
      <c r="BU47" s="388"/>
      <c r="BV47" s="388"/>
      <c r="BW47" s="388"/>
      <c r="BX47" s="356"/>
      <c r="BY47" s="357"/>
      <c r="BZ47" s="357"/>
      <c r="CA47" s="357"/>
      <c r="CB47" s="358"/>
      <c r="CC47" s="156"/>
      <c r="CD47" s="156"/>
      <c r="CE47" s="156"/>
      <c r="CF47" s="156"/>
      <c r="CG47" s="156"/>
      <c r="CH47" s="156"/>
      <c r="CI47" s="156"/>
      <c r="CJ47" s="359" t="s">
        <v>1688</v>
      </c>
      <c r="CK47" s="360"/>
      <c r="CL47" s="360"/>
      <c r="CM47" s="360"/>
      <c r="CN47" s="360"/>
      <c r="CO47" s="361"/>
      <c r="CP47" s="300">
        <v>189.84</v>
      </c>
      <c r="CQ47" s="300"/>
      <c r="CR47" s="300"/>
      <c r="CS47" s="300"/>
      <c r="CT47" s="300">
        <v>226.28</v>
      </c>
      <c r="CU47" s="300"/>
      <c r="CV47" s="300"/>
      <c r="CW47" s="300"/>
      <c r="CX47" s="300"/>
      <c r="CY47" s="301">
        <f t="shared" ref="CY47:CY58" si="3">(CT47-CP47)*1000</f>
        <v>36440</v>
      </c>
      <c r="CZ47" s="301"/>
      <c r="DA47" s="301"/>
      <c r="DB47" s="301"/>
      <c r="DC47" s="301"/>
      <c r="DD47" s="113"/>
      <c r="DE47" s="114"/>
      <c r="DF47" s="114"/>
      <c r="DG47" s="114"/>
      <c r="DH47" s="115"/>
      <c r="DI47" s="170"/>
      <c r="DJ47" s="160"/>
      <c r="DK47" s="61"/>
      <c r="DL47" s="61"/>
      <c r="DO47" s="69"/>
      <c r="DP47" s="69"/>
      <c r="DQ47" s="69"/>
      <c r="DR47" s="69"/>
      <c r="DS47" s="69"/>
      <c r="DT47" s="69"/>
      <c r="DU47" s="67"/>
      <c r="DV47" s="67"/>
      <c r="DW47" s="67"/>
      <c r="DX47" s="67"/>
      <c r="DY47" s="67"/>
      <c r="DZ47" s="67"/>
      <c r="EA47" s="67"/>
      <c r="EB47" s="67"/>
      <c r="EC47" s="67"/>
      <c r="ED47" s="62"/>
      <c r="EE47" s="62"/>
      <c r="EF47" s="62"/>
      <c r="EG47" s="62"/>
      <c r="EH47" s="62"/>
      <c r="EI47" s="62"/>
      <c r="EJ47" s="62"/>
      <c r="EK47" s="62"/>
      <c r="EL47" s="62"/>
      <c r="EM47" s="62"/>
    </row>
    <row r="48" spans="2:482" ht="15" thickBot="1" x14ac:dyDescent="0.25">
      <c r="C48" s="169"/>
      <c r="D48" s="324"/>
      <c r="E48" s="318"/>
      <c r="F48" s="325"/>
      <c r="G48" s="315">
        <v>45</v>
      </c>
      <c r="H48" s="315"/>
      <c r="I48" s="315"/>
      <c r="J48" s="315"/>
      <c r="K48" s="315">
        <v>45.59</v>
      </c>
      <c r="L48" s="315"/>
      <c r="M48" s="315"/>
      <c r="N48" s="315"/>
      <c r="O48" s="315"/>
      <c r="P48" s="316">
        <f t="shared" si="0"/>
        <v>590.00000000000341</v>
      </c>
      <c r="Q48" s="316"/>
      <c r="R48" s="316"/>
      <c r="S48" s="316"/>
      <c r="T48" s="316"/>
      <c r="U48" s="317">
        <f>P47+P48</f>
        <v>45656</v>
      </c>
      <c r="V48" s="318"/>
      <c r="W48" s="318"/>
      <c r="X48" s="318"/>
      <c r="Y48" s="319"/>
      <c r="Z48" s="156"/>
      <c r="AA48" s="156"/>
      <c r="AB48" s="156"/>
      <c r="AC48" s="263"/>
      <c r="AD48" s="264"/>
      <c r="AE48" s="264"/>
      <c r="AF48" s="264"/>
      <c r="AG48" s="264"/>
      <c r="AH48" s="265"/>
      <c r="AI48" s="295">
        <v>90</v>
      </c>
      <c r="AJ48" s="295"/>
      <c r="AK48" s="295"/>
      <c r="AL48" s="295"/>
      <c r="AM48" s="295">
        <v>90.58</v>
      </c>
      <c r="AN48" s="295"/>
      <c r="AO48" s="295"/>
      <c r="AP48" s="295"/>
      <c r="AQ48" s="295"/>
      <c r="AR48" s="296">
        <f t="shared" si="1"/>
        <v>579.99999999999829</v>
      </c>
      <c r="AS48" s="296"/>
      <c r="AT48" s="296"/>
      <c r="AU48" s="296"/>
      <c r="AV48" s="296"/>
      <c r="AW48" s="98"/>
      <c r="AX48" s="99"/>
      <c r="AY48" s="99"/>
      <c r="AZ48" s="99"/>
      <c r="BA48" s="100"/>
      <c r="BB48" s="176"/>
      <c r="BC48" s="156"/>
      <c r="BD48" s="411"/>
      <c r="BE48" s="412"/>
      <c r="BF48" s="412"/>
      <c r="BG48" s="412"/>
      <c r="BH48" s="412"/>
      <c r="BI48" s="413"/>
      <c r="BJ48" s="462">
        <v>160.08000000000001</v>
      </c>
      <c r="BK48" s="462"/>
      <c r="BL48" s="462"/>
      <c r="BM48" s="462"/>
      <c r="BN48" s="462">
        <v>162.22</v>
      </c>
      <c r="BO48" s="462"/>
      <c r="BP48" s="462"/>
      <c r="BQ48" s="462"/>
      <c r="BR48" s="462"/>
      <c r="BS48" s="463">
        <f t="shared" si="2"/>
        <v>2139.9999999999864</v>
      </c>
      <c r="BT48" s="463"/>
      <c r="BU48" s="463"/>
      <c r="BV48" s="463"/>
      <c r="BW48" s="463"/>
      <c r="BX48" s="353"/>
      <c r="BY48" s="354"/>
      <c r="BZ48" s="354"/>
      <c r="CA48" s="354"/>
      <c r="CB48" s="151"/>
      <c r="CC48" s="156"/>
      <c r="CD48" s="464">
        <f>(165-BN48)*1000</f>
        <v>2780.0000000000009</v>
      </c>
      <c r="CE48" s="465"/>
      <c r="CF48" s="465"/>
      <c r="CG48" s="465"/>
      <c r="CH48" s="161"/>
      <c r="CI48" s="156"/>
      <c r="CJ48" s="365"/>
      <c r="CK48" s="366"/>
      <c r="CL48" s="366"/>
      <c r="CM48" s="366"/>
      <c r="CN48" s="366"/>
      <c r="CO48" s="367"/>
      <c r="CP48" s="315">
        <v>0</v>
      </c>
      <c r="CQ48" s="315"/>
      <c r="CR48" s="315"/>
      <c r="CS48" s="315"/>
      <c r="CT48" s="315">
        <v>0</v>
      </c>
      <c r="CU48" s="315"/>
      <c r="CV48" s="315"/>
      <c r="CW48" s="315"/>
      <c r="CX48" s="315"/>
      <c r="CY48" s="316">
        <f t="shared" si="3"/>
        <v>0</v>
      </c>
      <c r="CZ48" s="316"/>
      <c r="DA48" s="316"/>
      <c r="DB48" s="316"/>
      <c r="DC48" s="316"/>
      <c r="DD48" s="317">
        <f>CY47+CY48</f>
        <v>36440</v>
      </c>
      <c r="DE48" s="318"/>
      <c r="DF48" s="318"/>
      <c r="DG48" s="318"/>
      <c r="DH48" s="319"/>
      <c r="DI48" s="170"/>
      <c r="DJ48" s="160"/>
      <c r="DK48" s="61"/>
      <c r="DL48" s="61"/>
      <c r="DM48" s="59"/>
      <c r="DN48" s="59"/>
      <c r="DO48" s="69"/>
      <c r="DP48" s="69"/>
      <c r="DQ48" s="69"/>
      <c r="DR48" s="69"/>
      <c r="DS48" s="69"/>
      <c r="DT48" s="69"/>
      <c r="DU48" s="67"/>
      <c r="DV48" s="67"/>
      <c r="DW48" s="67"/>
      <c r="DX48" s="67"/>
      <c r="DY48" s="67"/>
      <c r="DZ48" s="67"/>
      <c r="EA48" s="67"/>
      <c r="EB48" s="67"/>
      <c r="EC48" s="67"/>
      <c r="ED48" s="62"/>
      <c r="EE48" s="62"/>
      <c r="EF48" s="62"/>
      <c r="EG48" s="62"/>
      <c r="EH48" s="62"/>
      <c r="EI48" s="62"/>
      <c r="EJ48" s="62"/>
      <c r="EK48" s="62"/>
      <c r="EL48" s="62"/>
      <c r="EM48" s="62"/>
    </row>
    <row r="49" spans="3:143" ht="15" thickBot="1" x14ac:dyDescent="0.25">
      <c r="C49" s="169"/>
      <c r="D49" s="321" t="s">
        <v>1692</v>
      </c>
      <c r="E49" s="322"/>
      <c r="F49" s="323"/>
      <c r="G49" s="300">
        <v>-0.64</v>
      </c>
      <c r="H49" s="300"/>
      <c r="I49" s="300"/>
      <c r="J49" s="300"/>
      <c r="K49" s="300">
        <v>44.426000000000002</v>
      </c>
      <c r="L49" s="300"/>
      <c r="M49" s="300"/>
      <c r="N49" s="300"/>
      <c r="O49" s="300"/>
      <c r="P49" s="301">
        <f t="shared" si="0"/>
        <v>45066</v>
      </c>
      <c r="Q49" s="301"/>
      <c r="R49" s="301"/>
      <c r="S49" s="301"/>
      <c r="T49" s="301"/>
      <c r="U49" s="116"/>
      <c r="V49" s="117"/>
      <c r="W49" s="117"/>
      <c r="X49" s="117"/>
      <c r="Y49" s="118"/>
      <c r="Z49" s="156"/>
      <c r="AA49" s="156"/>
      <c r="AB49" s="156"/>
      <c r="AC49" s="266"/>
      <c r="AD49" s="267"/>
      <c r="AE49" s="267"/>
      <c r="AF49" s="267"/>
      <c r="AG49" s="267"/>
      <c r="AH49" s="268"/>
      <c r="AI49" s="331">
        <v>0</v>
      </c>
      <c r="AJ49" s="331"/>
      <c r="AK49" s="331"/>
      <c r="AL49" s="331"/>
      <c r="AM49" s="331">
        <v>0</v>
      </c>
      <c r="AN49" s="331"/>
      <c r="AO49" s="331"/>
      <c r="AP49" s="331"/>
      <c r="AQ49" s="331"/>
      <c r="AR49" s="278">
        <f t="shared" si="1"/>
        <v>0</v>
      </c>
      <c r="AS49" s="278"/>
      <c r="AT49" s="278"/>
      <c r="AU49" s="278"/>
      <c r="AV49" s="278"/>
      <c r="AW49" s="258">
        <f>AR47+AR48+AR49</f>
        <v>44867.000000000007</v>
      </c>
      <c r="AX49" s="259"/>
      <c r="AY49" s="259"/>
      <c r="AZ49" s="259"/>
      <c r="BA49" s="297"/>
      <c r="BB49" s="176"/>
      <c r="BC49" s="156"/>
      <c r="BD49" s="411"/>
      <c r="BE49" s="412"/>
      <c r="BF49" s="412"/>
      <c r="BG49" s="412"/>
      <c r="BH49" s="412"/>
      <c r="BI49" s="413"/>
      <c r="BJ49" s="368">
        <v>0</v>
      </c>
      <c r="BK49" s="369"/>
      <c r="BL49" s="369"/>
      <c r="BM49" s="370"/>
      <c r="BN49" s="368">
        <v>0</v>
      </c>
      <c r="BO49" s="369"/>
      <c r="BP49" s="369"/>
      <c r="BQ49" s="369"/>
      <c r="BR49" s="370"/>
      <c r="BS49" s="380">
        <f t="shared" si="2"/>
        <v>0</v>
      </c>
      <c r="BT49" s="381"/>
      <c r="BU49" s="381"/>
      <c r="BV49" s="381"/>
      <c r="BW49" s="382"/>
      <c r="BX49" s="353">
        <f>SUM(BS47:BW51)</f>
        <v>71520</v>
      </c>
      <c r="BY49" s="354"/>
      <c r="BZ49" s="354"/>
      <c r="CA49" s="354"/>
      <c r="CB49" s="355"/>
      <c r="CC49" s="156"/>
      <c r="CD49" s="162" t="s">
        <v>1789</v>
      </c>
      <c r="CE49" s="163"/>
      <c r="CF49" s="163"/>
      <c r="CG49" s="163"/>
      <c r="CH49" s="164"/>
      <c r="CI49" s="156"/>
      <c r="CJ49" s="359" t="s">
        <v>1692</v>
      </c>
      <c r="CK49" s="360"/>
      <c r="CL49" s="360"/>
      <c r="CM49" s="360"/>
      <c r="CN49" s="360"/>
      <c r="CO49" s="361"/>
      <c r="CP49" s="374">
        <v>189.84</v>
      </c>
      <c r="CQ49" s="375"/>
      <c r="CR49" s="375"/>
      <c r="CS49" s="376"/>
      <c r="CT49" s="374">
        <v>226.28</v>
      </c>
      <c r="CU49" s="375"/>
      <c r="CV49" s="375"/>
      <c r="CW49" s="375"/>
      <c r="CX49" s="376"/>
      <c r="CY49" s="329">
        <f t="shared" si="3"/>
        <v>36440</v>
      </c>
      <c r="CZ49" s="322"/>
      <c r="DA49" s="322"/>
      <c r="DB49" s="322"/>
      <c r="DC49" s="323"/>
      <c r="DD49" s="116"/>
      <c r="DE49" s="117"/>
      <c r="DF49" s="117"/>
      <c r="DG49" s="117"/>
      <c r="DH49" s="118"/>
      <c r="DI49" s="170"/>
      <c r="DJ49" s="160"/>
      <c r="DK49" s="61"/>
      <c r="DL49" s="61"/>
      <c r="DM49" s="68"/>
      <c r="DN49" s="69"/>
      <c r="DO49" s="69"/>
      <c r="DP49" s="69"/>
      <c r="DQ49" s="69"/>
      <c r="DR49" s="69"/>
      <c r="DS49" s="69"/>
      <c r="DT49" s="69"/>
      <c r="DU49" s="67"/>
      <c r="DV49" s="67"/>
      <c r="DW49" s="67"/>
      <c r="DX49" s="67"/>
      <c r="DY49" s="67"/>
      <c r="DZ49" s="67"/>
      <c r="EA49" s="67"/>
      <c r="EB49" s="67"/>
      <c r="EC49" s="67"/>
      <c r="ED49" s="62"/>
      <c r="EE49" s="62"/>
      <c r="EF49" s="62"/>
      <c r="EG49" s="62"/>
      <c r="EH49" s="62"/>
      <c r="EI49" s="61"/>
      <c r="EJ49" s="61"/>
      <c r="EK49" s="61"/>
      <c r="EL49" s="61"/>
      <c r="EM49" s="61"/>
    </row>
    <row r="50" spans="3:143" ht="14.25" customHeight="1" x14ac:dyDescent="0.2">
      <c r="C50" s="169"/>
      <c r="D50" s="336"/>
      <c r="E50" s="313"/>
      <c r="F50" s="337"/>
      <c r="G50" s="335">
        <v>45</v>
      </c>
      <c r="H50" s="335"/>
      <c r="I50" s="335"/>
      <c r="J50" s="335"/>
      <c r="K50" s="335">
        <v>45.59</v>
      </c>
      <c r="L50" s="335"/>
      <c r="M50" s="335"/>
      <c r="N50" s="335"/>
      <c r="O50" s="335"/>
      <c r="P50" s="311">
        <f t="shared" si="0"/>
        <v>590.00000000000341</v>
      </c>
      <c r="Q50" s="311"/>
      <c r="R50" s="311"/>
      <c r="S50" s="311"/>
      <c r="T50" s="311"/>
      <c r="U50" s="312"/>
      <c r="V50" s="313"/>
      <c r="W50" s="313"/>
      <c r="X50" s="313"/>
      <c r="Y50" s="314"/>
      <c r="Z50" s="156"/>
      <c r="AA50" s="156"/>
      <c r="AB50" s="156"/>
      <c r="AC50" s="390" t="s">
        <v>1692</v>
      </c>
      <c r="AD50" s="391"/>
      <c r="AE50" s="391"/>
      <c r="AF50" s="391"/>
      <c r="AG50" s="391"/>
      <c r="AH50" s="392"/>
      <c r="AI50" s="295">
        <v>45.58</v>
      </c>
      <c r="AJ50" s="295"/>
      <c r="AK50" s="295"/>
      <c r="AL50" s="295"/>
      <c r="AM50" s="252">
        <v>89.867000000000004</v>
      </c>
      <c r="AN50" s="253"/>
      <c r="AO50" s="253"/>
      <c r="AP50" s="253"/>
      <c r="AQ50" s="254"/>
      <c r="AR50" s="296">
        <f>(AM50-AI50)*1000</f>
        <v>44287.000000000007</v>
      </c>
      <c r="AS50" s="296"/>
      <c r="AT50" s="296"/>
      <c r="AU50" s="296"/>
      <c r="AV50" s="296"/>
      <c r="AW50" s="95"/>
      <c r="AX50" s="96"/>
      <c r="AY50" s="96"/>
      <c r="AZ50" s="96"/>
      <c r="BA50" s="97"/>
      <c r="BB50" s="176"/>
      <c r="BC50" s="156"/>
      <c r="BD50" s="411"/>
      <c r="BE50" s="412"/>
      <c r="BF50" s="412"/>
      <c r="BG50" s="412"/>
      <c r="BH50" s="412"/>
      <c r="BI50" s="413"/>
      <c r="BJ50" s="368">
        <v>0</v>
      </c>
      <c r="BK50" s="369"/>
      <c r="BL50" s="369"/>
      <c r="BM50" s="370"/>
      <c r="BN50" s="368">
        <v>0</v>
      </c>
      <c r="BO50" s="369"/>
      <c r="BP50" s="369"/>
      <c r="BQ50" s="369"/>
      <c r="BR50" s="370"/>
      <c r="BS50" s="380">
        <f t="shared" si="2"/>
        <v>0</v>
      </c>
      <c r="BT50" s="381"/>
      <c r="BU50" s="381"/>
      <c r="BV50" s="381"/>
      <c r="BW50" s="382"/>
      <c r="BX50" s="74"/>
      <c r="BY50" s="75"/>
      <c r="BZ50" s="75"/>
      <c r="CA50" s="75"/>
      <c r="CB50" s="76"/>
      <c r="CC50" s="156"/>
      <c r="CD50" s="156"/>
      <c r="CE50" s="156"/>
      <c r="CF50" s="156"/>
      <c r="CG50" s="156"/>
      <c r="CH50" s="156"/>
      <c r="CI50" s="156"/>
      <c r="CJ50" s="362"/>
      <c r="CK50" s="363"/>
      <c r="CL50" s="363"/>
      <c r="CM50" s="363"/>
      <c r="CN50" s="363"/>
      <c r="CO50" s="364"/>
      <c r="CP50" s="377">
        <v>0</v>
      </c>
      <c r="CQ50" s="378"/>
      <c r="CR50" s="378"/>
      <c r="CS50" s="379"/>
      <c r="CT50" s="377">
        <v>0</v>
      </c>
      <c r="CU50" s="378"/>
      <c r="CV50" s="378"/>
      <c r="CW50" s="378"/>
      <c r="CX50" s="379"/>
      <c r="CY50" s="383">
        <f t="shared" si="3"/>
        <v>0</v>
      </c>
      <c r="CZ50" s="384"/>
      <c r="DA50" s="384"/>
      <c r="DB50" s="384"/>
      <c r="DC50" s="385"/>
      <c r="DD50" s="312"/>
      <c r="DE50" s="313"/>
      <c r="DF50" s="313"/>
      <c r="DG50" s="313"/>
      <c r="DH50" s="119"/>
      <c r="DI50" s="170"/>
      <c r="DJ50" s="160"/>
      <c r="DK50" s="61"/>
      <c r="DL50" s="61"/>
      <c r="DM50" s="68"/>
      <c r="DN50" s="69"/>
      <c r="DO50" s="69"/>
      <c r="DP50" s="69"/>
      <c r="DQ50" s="69"/>
      <c r="DR50" s="69"/>
      <c r="DS50" s="69"/>
      <c r="DT50" s="69"/>
      <c r="DU50" s="67"/>
      <c r="DV50" s="67"/>
      <c r="DW50" s="67"/>
      <c r="DX50" s="67"/>
      <c r="DY50" s="67"/>
      <c r="DZ50" s="67"/>
      <c r="EA50" s="67"/>
      <c r="EB50" s="67"/>
      <c r="EC50" s="67"/>
      <c r="ED50" s="62"/>
      <c r="EE50" s="62"/>
      <c r="EF50" s="62"/>
      <c r="EG50" s="62"/>
      <c r="EH50" s="62"/>
      <c r="EI50" s="62"/>
      <c r="EJ50" s="62"/>
      <c r="EK50" s="62"/>
      <c r="EL50" s="62"/>
      <c r="EM50" s="61"/>
    </row>
    <row r="51" spans="3:143" ht="15" customHeight="1" thickBot="1" x14ac:dyDescent="0.25">
      <c r="C51" s="169"/>
      <c r="D51" s="324"/>
      <c r="E51" s="318"/>
      <c r="F51" s="325"/>
      <c r="G51" s="315">
        <v>0</v>
      </c>
      <c r="H51" s="315"/>
      <c r="I51" s="315"/>
      <c r="J51" s="315"/>
      <c r="K51" s="315">
        <v>0</v>
      </c>
      <c r="L51" s="315"/>
      <c r="M51" s="315"/>
      <c r="N51" s="315"/>
      <c r="O51" s="315"/>
      <c r="P51" s="316">
        <f t="shared" si="0"/>
        <v>0</v>
      </c>
      <c r="Q51" s="316"/>
      <c r="R51" s="316"/>
      <c r="S51" s="316"/>
      <c r="T51" s="316"/>
      <c r="U51" s="317">
        <f>P49+P50+P51</f>
        <v>45656</v>
      </c>
      <c r="V51" s="318"/>
      <c r="W51" s="318"/>
      <c r="X51" s="318"/>
      <c r="Y51" s="319"/>
      <c r="Z51" s="156"/>
      <c r="AA51" s="156"/>
      <c r="AB51" s="156"/>
      <c r="AC51" s="393"/>
      <c r="AD51" s="394"/>
      <c r="AE51" s="394"/>
      <c r="AF51" s="394"/>
      <c r="AG51" s="394"/>
      <c r="AH51" s="395"/>
      <c r="AI51" s="405">
        <v>90</v>
      </c>
      <c r="AJ51" s="406"/>
      <c r="AK51" s="406"/>
      <c r="AL51" s="407"/>
      <c r="AM51" s="405">
        <v>90.58</v>
      </c>
      <c r="AN51" s="406"/>
      <c r="AO51" s="406"/>
      <c r="AP51" s="406"/>
      <c r="AQ51" s="407"/>
      <c r="AR51" s="296">
        <f>(AM51-AI51)*1000</f>
        <v>579.99999999999829</v>
      </c>
      <c r="AS51" s="296"/>
      <c r="AT51" s="296"/>
      <c r="AU51" s="296"/>
      <c r="AV51" s="296"/>
      <c r="AW51" s="98"/>
      <c r="AX51" s="99"/>
      <c r="AY51" s="99"/>
      <c r="AZ51" s="99"/>
      <c r="BA51" s="100"/>
      <c r="BB51" s="176"/>
      <c r="BC51" s="156"/>
      <c r="BD51" s="414"/>
      <c r="BE51" s="415"/>
      <c r="BF51" s="415"/>
      <c r="BG51" s="415"/>
      <c r="BH51" s="415"/>
      <c r="BI51" s="416"/>
      <c r="BJ51" s="438">
        <v>0</v>
      </c>
      <c r="BK51" s="439"/>
      <c r="BL51" s="439"/>
      <c r="BM51" s="440"/>
      <c r="BN51" s="438">
        <v>0</v>
      </c>
      <c r="BO51" s="439"/>
      <c r="BP51" s="439"/>
      <c r="BQ51" s="439"/>
      <c r="BR51" s="440"/>
      <c r="BS51" s="441">
        <f t="shared" si="2"/>
        <v>0</v>
      </c>
      <c r="BT51" s="442"/>
      <c r="BU51" s="442"/>
      <c r="BV51" s="442"/>
      <c r="BW51" s="443"/>
      <c r="BX51" s="77"/>
      <c r="BY51" s="78"/>
      <c r="BZ51" s="78"/>
      <c r="CA51" s="78"/>
      <c r="CB51" s="79"/>
      <c r="CC51" s="156"/>
      <c r="CD51" s="156"/>
      <c r="CE51" s="156"/>
      <c r="CF51" s="156"/>
      <c r="CG51" s="156"/>
      <c r="CH51" s="156"/>
      <c r="CI51" s="156"/>
      <c r="CJ51" s="365"/>
      <c r="CK51" s="366"/>
      <c r="CL51" s="366"/>
      <c r="CM51" s="366"/>
      <c r="CN51" s="366"/>
      <c r="CO51" s="367"/>
      <c r="CP51" s="448">
        <v>0</v>
      </c>
      <c r="CQ51" s="449"/>
      <c r="CR51" s="449"/>
      <c r="CS51" s="450"/>
      <c r="CT51" s="448">
        <v>0</v>
      </c>
      <c r="CU51" s="449"/>
      <c r="CV51" s="449"/>
      <c r="CW51" s="449"/>
      <c r="CX51" s="450"/>
      <c r="CY51" s="371">
        <f t="shared" si="3"/>
        <v>0</v>
      </c>
      <c r="CZ51" s="372"/>
      <c r="DA51" s="372"/>
      <c r="DB51" s="372"/>
      <c r="DC51" s="373"/>
      <c r="DD51" s="317">
        <f>CY49+CY50+CY51</f>
        <v>36440</v>
      </c>
      <c r="DE51" s="318"/>
      <c r="DF51" s="318"/>
      <c r="DG51" s="318"/>
      <c r="DH51" s="319"/>
      <c r="DI51" s="170"/>
      <c r="DJ51" s="160"/>
      <c r="DK51" s="61"/>
      <c r="DL51" s="61"/>
      <c r="DM51" s="59"/>
      <c r="DN51" s="59"/>
      <c r="DO51" s="69"/>
      <c r="DP51" s="69"/>
      <c r="DQ51" s="69"/>
      <c r="DR51" s="69"/>
      <c r="DS51" s="69"/>
      <c r="DT51" s="69"/>
      <c r="DU51" s="67"/>
      <c r="DV51" s="67"/>
      <c r="DW51" s="67"/>
      <c r="DX51" s="67"/>
      <c r="DY51" s="67"/>
      <c r="DZ51" s="67"/>
      <c r="EA51" s="67"/>
      <c r="EB51" s="67"/>
      <c r="EC51" s="67"/>
      <c r="ED51" s="62"/>
      <c r="EE51" s="62"/>
      <c r="EF51" s="62"/>
      <c r="EG51" s="62"/>
      <c r="EH51" s="62"/>
      <c r="EI51" s="62"/>
      <c r="EJ51" s="62"/>
      <c r="EK51" s="62"/>
      <c r="EL51" s="62"/>
      <c r="EM51" s="62"/>
    </row>
    <row r="52" spans="3:143" ht="15" customHeight="1" x14ac:dyDescent="0.2">
      <c r="C52" s="169"/>
      <c r="D52" s="338" t="s">
        <v>1693</v>
      </c>
      <c r="E52" s="339"/>
      <c r="F52" s="340"/>
      <c r="G52" s="300">
        <v>-0.64</v>
      </c>
      <c r="H52" s="300"/>
      <c r="I52" s="300"/>
      <c r="J52" s="300"/>
      <c r="K52" s="300">
        <v>44.426000000000002</v>
      </c>
      <c r="L52" s="300"/>
      <c r="M52" s="300"/>
      <c r="N52" s="300"/>
      <c r="O52" s="300"/>
      <c r="P52" s="301">
        <f t="shared" si="0"/>
        <v>45066</v>
      </c>
      <c r="Q52" s="301"/>
      <c r="R52" s="301"/>
      <c r="S52" s="301"/>
      <c r="T52" s="301"/>
      <c r="U52" s="116"/>
      <c r="V52" s="117"/>
      <c r="W52" s="117"/>
      <c r="X52" s="117"/>
      <c r="Y52" s="118"/>
      <c r="Z52" s="156"/>
      <c r="AA52" s="156"/>
      <c r="AB52" s="156"/>
      <c r="AC52" s="393"/>
      <c r="AD52" s="394"/>
      <c r="AE52" s="394"/>
      <c r="AF52" s="394"/>
      <c r="AG52" s="394"/>
      <c r="AH52" s="395"/>
      <c r="AI52" s="252">
        <v>0</v>
      </c>
      <c r="AJ52" s="253"/>
      <c r="AK52" s="253"/>
      <c r="AL52" s="254"/>
      <c r="AM52" s="252">
        <v>0</v>
      </c>
      <c r="AN52" s="253"/>
      <c r="AO52" s="253"/>
      <c r="AP52" s="253"/>
      <c r="AQ52" s="254"/>
      <c r="AR52" s="320">
        <f>(AM52-AI52)*1000</f>
        <v>0</v>
      </c>
      <c r="AS52" s="320"/>
      <c r="AT52" s="320"/>
      <c r="AU52" s="320"/>
      <c r="AV52" s="320"/>
      <c r="AW52" s="98"/>
      <c r="AX52" s="99"/>
      <c r="AY52" s="99"/>
      <c r="AZ52" s="99"/>
      <c r="BA52" s="100"/>
      <c r="BB52" s="176"/>
      <c r="BC52" s="156"/>
      <c r="BD52" s="80" t="s">
        <v>1692</v>
      </c>
      <c r="BE52" s="81"/>
      <c r="BF52" s="81"/>
      <c r="BG52" s="81"/>
      <c r="BH52" s="81"/>
      <c r="BI52" s="82"/>
      <c r="BJ52" s="429">
        <v>90.58</v>
      </c>
      <c r="BK52" s="430"/>
      <c r="BL52" s="430"/>
      <c r="BM52" s="431"/>
      <c r="BN52" s="429">
        <v>157</v>
      </c>
      <c r="BO52" s="430"/>
      <c r="BP52" s="430"/>
      <c r="BQ52" s="430"/>
      <c r="BR52" s="431"/>
      <c r="BS52" s="432">
        <f t="shared" si="2"/>
        <v>66420</v>
      </c>
      <c r="BT52" s="433"/>
      <c r="BU52" s="433"/>
      <c r="BV52" s="433"/>
      <c r="BW52" s="434"/>
      <c r="BX52" s="356"/>
      <c r="BY52" s="357"/>
      <c r="BZ52" s="357"/>
      <c r="CA52" s="357"/>
      <c r="CB52" s="358"/>
      <c r="CC52" s="156"/>
      <c r="CD52" s="156"/>
      <c r="CE52" s="156"/>
      <c r="CF52" s="156"/>
      <c r="CG52" s="156"/>
      <c r="CH52" s="156"/>
      <c r="CI52" s="156"/>
      <c r="CJ52" s="420" t="s">
        <v>1693</v>
      </c>
      <c r="CK52" s="421"/>
      <c r="CL52" s="421"/>
      <c r="CM52" s="421"/>
      <c r="CN52" s="421"/>
      <c r="CO52" s="422"/>
      <c r="CP52" s="402">
        <v>189.84</v>
      </c>
      <c r="CQ52" s="403"/>
      <c r="CR52" s="403"/>
      <c r="CS52" s="404"/>
      <c r="CT52" s="402">
        <v>226.28</v>
      </c>
      <c r="CU52" s="403"/>
      <c r="CV52" s="403"/>
      <c r="CW52" s="403"/>
      <c r="CX52" s="404"/>
      <c r="CY52" s="451">
        <f t="shared" si="3"/>
        <v>36440</v>
      </c>
      <c r="CZ52" s="452"/>
      <c r="DA52" s="452"/>
      <c r="DB52" s="452"/>
      <c r="DC52" s="453"/>
      <c r="DD52" s="120"/>
      <c r="DE52" s="121"/>
      <c r="DF52" s="121"/>
      <c r="DG52" s="121"/>
      <c r="DH52" s="119"/>
      <c r="DI52" s="170"/>
      <c r="DJ52" s="160"/>
      <c r="DK52" s="61"/>
      <c r="DL52" s="61"/>
      <c r="DO52" s="73"/>
      <c r="DP52" s="73"/>
      <c r="DQ52" s="73"/>
      <c r="DR52" s="73"/>
      <c r="DS52" s="73"/>
      <c r="DT52" s="73"/>
      <c r="DU52" s="67"/>
      <c r="DV52" s="67"/>
      <c r="DW52" s="67"/>
      <c r="DX52" s="67"/>
      <c r="DY52" s="67"/>
      <c r="DZ52" s="67"/>
      <c r="EA52" s="67"/>
      <c r="EB52" s="67"/>
      <c r="EC52" s="67"/>
      <c r="ED52" s="62"/>
      <c r="EE52" s="62"/>
      <c r="EF52" s="62"/>
      <c r="EG52" s="62"/>
      <c r="EH52" s="62"/>
      <c r="EI52" s="61"/>
      <c r="EJ52" s="61"/>
      <c r="EK52" s="61"/>
      <c r="EL52" s="61"/>
      <c r="EM52" s="61"/>
    </row>
    <row r="53" spans="3:143" ht="15" customHeight="1" thickBot="1" x14ac:dyDescent="0.25">
      <c r="C53" s="169"/>
      <c r="D53" s="341"/>
      <c r="E53" s="342"/>
      <c r="F53" s="343"/>
      <c r="G53" s="335">
        <v>45</v>
      </c>
      <c r="H53" s="335"/>
      <c r="I53" s="335"/>
      <c r="J53" s="335"/>
      <c r="K53" s="335">
        <v>45.59</v>
      </c>
      <c r="L53" s="335"/>
      <c r="M53" s="335"/>
      <c r="N53" s="335"/>
      <c r="O53" s="335"/>
      <c r="P53" s="311">
        <f t="shared" si="0"/>
        <v>590.00000000000341</v>
      </c>
      <c r="Q53" s="311"/>
      <c r="R53" s="311"/>
      <c r="S53" s="311"/>
      <c r="T53" s="311"/>
      <c r="U53" s="312"/>
      <c r="V53" s="313"/>
      <c r="W53" s="313"/>
      <c r="X53" s="313"/>
      <c r="Y53" s="314"/>
      <c r="Z53" s="156"/>
      <c r="AA53" s="156"/>
      <c r="AB53" s="156"/>
      <c r="AC53" s="396"/>
      <c r="AD53" s="397"/>
      <c r="AE53" s="397"/>
      <c r="AF53" s="397"/>
      <c r="AG53" s="397"/>
      <c r="AH53" s="398"/>
      <c r="AI53" s="288">
        <v>0</v>
      </c>
      <c r="AJ53" s="289"/>
      <c r="AK53" s="289"/>
      <c r="AL53" s="290"/>
      <c r="AM53" s="288">
        <v>0</v>
      </c>
      <c r="AN53" s="289"/>
      <c r="AO53" s="289"/>
      <c r="AP53" s="289"/>
      <c r="AQ53" s="290"/>
      <c r="AR53" s="320">
        <f t="shared" si="1"/>
        <v>0</v>
      </c>
      <c r="AS53" s="320"/>
      <c r="AT53" s="320"/>
      <c r="AU53" s="320"/>
      <c r="AV53" s="320"/>
      <c r="AW53" s="248">
        <f>SUM(AR50:AV53)</f>
        <v>44867.000000000007</v>
      </c>
      <c r="AX53" s="249"/>
      <c r="AY53" s="249"/>
      <c r="AZ53" s="249"/>
      <c r="BA53" s="250"/>
      <c r="BB53" s="176"/>
      <c r="BC53" s="156"/>
      <c r="BD53" s="152"/>
      <c r="BE53" s="153"/>
      <c r="BF53" s="153"/>
      <c r="BG53" s="153"/>
      <c r="BH53" s="153"/>
      <c r="BI53" s="154"/>
      <c r="BJ53" s="417">
        <v>157.35</v>
      </c>
      <c r="BK53" s="418"/>
      <c r="BL53" s="418"/>
      <c r="BM53" s="419"/>
      <c r="BN53" s="417">
        <v>158.93</v>
      </c>
      <c r="BO53" s="418"/>
      <c r="BP53" s="418"/>
      <c r="BQ53" s="418"/>
      <c r="BR53" s="419"/>
      <c r="BS53" s="466">
        <f>(BN53-BJ53)*1000</f>
        <v>1580.0000000000125</v>
      </c>
      <c r="BT53" s="467"/>
      <c r="BU53" s="467"/>
      <c r="BV53" s="467"/>
      <c r="BW53" s="468"/>
      <c r="BX53" s="353"/>
      <c r="BY53" s="354"/>
      <c r="BZ53" s="354"/>
      <c r="CA53" s="354"/>
      <c r="CB53" s="355"/>
      <c r="CC53" s="156"/>
      <c r="CD53" s="156"/>
      <c r="CE53" s="156"/>
      <c r="CF53" s="156"/>
      <c r="CG53" s="156"/>
      <c r="CH53" s="156"/>
      <c r="CI53" s="156"/>
      <c r="CJ53" s="423"/>
      <c r="CK53" s="424"/>
      <c r="CL53" s="424"/>
      <c r="CM53" s="424"/>
      <c r="CN53" s="424"/>
      <c r="CO53" s="425"/>
      <c r="CP53" s="377">
        <v>0</v>
      </c>
      <c r="CQ53" s="378"/>
      <c r="CR53" s="378"/>
      <c r="CS53" s="379"/>
      <c r="CT53" s="377">
        <v>0</v>
      </c>
      <c r="CU53" s="378"/>
      <c r="CV53" s="378"/>
      <c r="CW53" s="378"/>
      <c r="CX53" s="379"/>
      <c r="CY53" s="383">
        <f t="shared" si="3"/>
        <v>0</v>
      </c>
      <c r="CZ53" s="384"/>
      <c r="DA53" s="384"/>
      <c r="DB53" s="384"/>
      <c r="DC53" s="385"/>
      <c r="DD53" s="312"/>
      <c r="DE53" s="313"/>
      <c r="DF53" s="313"/>
      <c r="DG53" s="313"/>
      <c r="DH53" s="119"/>
      <c r="DI53" s="170"/>
      <c r="DJ53" s="160"/>
      <c r="DK53" s="61"/>
      <c r="DL53" s="61"/>
      <c r="DO53" s="73"/>
      <c r="DP53" s="73"/>
      <c r="DQ53" s="73"/>
      <c r="DR53" s="73"/>
      <c r="DS53" s="73"/>
      <c r="DT53" s="73"/>
      <c r="DU53" s="67"/>
      <c r="DV53" s="67"/>
      <c r="DW53" s="67"/>
      <c r="DX53" s="67"/>
      <c r="DY53" s="67"/>
      <c r="DZ53" s="67"/>
      <c r="EA53" s="67"/>
      <c r="EB53" s="67"/>
      <c r="EC53" s="67"/>
      <c r="ED53" s="62"/>
      <c r="EE53" s="62"/>
      <c r="EF53" s="62"/>
      <c r="EG53" s="62"/>
      <c r="EH53" s="62"/>
      <c r="EI53" s="62"/>
      <c r="EJ53" s="62"/>
      <c r="EK53" s="62"/>
      <c r="EL53" s="62"/>
      <c r="EM53" s="61"/>
    </row>
    <row r="54" spans="3:143" ht="15" customHeight="1" thickBot="1" x14ac:dyDescent="0.25">
      <c r="C54" s="169"/>
      <c r="D54" s="344"/>
      <c r="E54" s="345"/>
      <c r="F54" s="346"/>
      <c r="G54" s="315">
        <v>0</v>
      </c>
      <c r="H54" s="315"/>
      <c r="I54" s="315"/>
      <c r="J54" s="315"/>
      <c r="K54" s="315">
        <v>0</v>
      </c>
      <c r="L54" s="315"/>
      <c r="M54" s="315"/>
      <c r="N54" s="315"/>
      <c r="O54" s="315"/>
      <c r="P54" s="316">
        <f t="shared" si="0"/>
        <v>0</v>
      </c>
      <c r="Q54" s="316"/>
      <c r="R54" s="316"/>
      <c r="S54" s="316"/>
      <c r="T54" s="316"/>
      <c r="U54" s="317">
        <f>P52+P53+P54</f>
        <v>45656</v>
      </c>
      <c r="V54" s="318"/>
      <c r="W54" s="318"/>
      <c r="X54" s="318"/>
      <c r="Y54" s="319"/>
      <c r="Z54" s="156"/>
      <c r="AA54" s="156"/>
      <c r="AB54" s="156"/>
      <c r="AC54" s="390" t="s">
        <v>1693</v>
      </c>
      <c r="AD54" s="391"/>
      <c r="AE54" s="391"/>
      <c r="AF54" s="391"/>
      <c r="AG54" s="391"/>
      <c r="AH54" s="392"/>
      <c r="AI54" s="295">
        <v>45.58</v>
      </c>
      <c r="AJ54" s="295"/>
      <c r="AK54" s="295"/>
      <c r="AL54" s="295"/>
      <c r="AM54" s="295">
        <v>89.867000000000004</v>
      </c>
      <c r="AN54" s="295"/>
      <c r="AO54" s="295"/>
      <c r="AP54" s="295"/>
      <c r="AQ54" s="295"/>
      <c r="AR54" s="327">
        <f t="shared" si="1"/>
        <v>44287.000000000007</v>
      </c>
      <c r="AS54" s="327"/>
      <c r="AT54" s="327"/>
      <c r="AU54" s="327"/>
      <c r="AV54" s="327"/>
      <c r="AW54" s="95"/>
      <c r="AX54" s="96"/>
      <c r="AY54" s="96"/>
      <c r="AZ54" s="96"/>
      <c r="BA54" s="97"/>
      <c r="BB54" s="176"/>
      <c r="BC54" s="156"/>
      <c r="BD54" s="469"/>
      <c r="BE54" s="470"/>
      <c r="BF54" s="470"/>
      <c r="BG54" s="470"/>
      <c r="BH54" s="470"/>
      <c r="BI54" s="471"/>
      <c r="BJ54" s="417">
        <v>159.26</v>
      </c>
      <c r="BK54" s="418"/>
      <c r="BL54" s="418"/>
      <c r="BM54" s="419"/>
      <c r="BN54" s="417">
        <v>159.96</v>
      </c>
      <c r="BO54" s="418"/>
      <c r="BP54" s="418"/>
      <c r="BQ54" s="418"/>
      <c r="BR54" s="419"/>
      <c r="BS54" s="466">
        <f t="shared" si="2"/>
        <v>700.00000000001705</v>
      </c>
      <c r="BT54" s="467"/>
      <c r="BU54" s="467"/>
      <c r="BV54" s="467"/>
      <c r="BW54" s="468"/>
      <c r="BX54" s="353"/>
      <c r="BY54" s="354"/>
      <c r="BZ54" s="354"/>
      <c r="CA54" s="354"/>
      <c r="CB54" s="355"/>
      <c r="CC54" s="156"/>
      <c r="CD54" s="156"/>
      <c r="CE54" s="156"/>
      <c r="CF54" s="156"/>
      <c r="CG54" s="156"/>
      <c r="CH54" s="156"/>
      <c r="CI54" s="156"/>
      <c r="CJ54" s="426"/>
      <c r="CK54" s="427"/>
      <c r="CL54" s="427"/>
      <c r="CM54" s="427"/>
      <c r="CN54" s="427"/>
      <c r="CO54" s="428"/>
      <c r="CP54" s="408">
        <v>0</v>
      </c>
      <c r="CQ54" s="409"/>
      <c r="CR54" s="409"/>
      <c r="CS54" s="410"/>
      <c r="CT54" s="408">
        <v>0</v>
      </c>
      <c r="CU54" s="409"/>
      <c r="CV54" s="409"/>
      <c r="CW54" s="409"/>
      <c r="CX54" s="410"/>
      <c r="CY54" s="399">
        <f t="shared" si="3"/>
        <v>0</v>
      </c>
      <c r="CZ54" s="400"/>
      <c r="DA54" s="400"/>
      <c r="DB54" s="400"/>
      <c r="DC54" s="401"/>
      <c r="DD54" s="317">
        <f>CY52+CY53+CY54</f>
        <v>36440</v>
      </c>
      <c r="DE54" s="318"/>
      <c r="DF54" s="318"/>
      <c r="DG54" s="318"/>
      <c r="DH54" s="319"/>
      <c r="DI54" s="170"/>
      <c r="DJ54" s="160"/>
      <c r="DK54" s="61"/>
      <c r="DL54" s="61"/>
      <c r="DO54" s="73"/>
      <c r="DP54" s="73"/>
      <c r="DQ54" s="73"/>
      <c r="DR54" s="73"/>
      <c r="DS54" s="73"/>
      <c r="DT54" s="73"/>
      <c r="DU54" s="67"/>
      <c r="DV54" s="67"/>
      <c r="DW54" s="67"/>
      <c r="DX54" s="67"/>
      <c r="DY54" s="67"/>
      <c r="DZ54" s="67"/>
      <c r="EA54" s="67"/>
      <c r="EB54" s="67"/>
      <c r="EC54" s="67"/>
      <c r="ED54" s="62"/>
      <c r="EE54" s="62"/>
      <c r="EF54" s="62"/>
      <c r="EG54" s="62"/>
      <c r="EH54" s="62"/>
      <c r="EI54" s="62"/>
      <c r="EJ54" s="62"/>
      <c r="EK54" s="62"/>
      <c r="EL54" s="62"/>
      <c r="EM54" s="62"/>
    </row>
    <row r="55" spans="3:143" ht="15" thickBot="1" x14ac:dyDescent="0.25">
      <c r="C55" s="169"/>
      <c r="D55" s="338" t="s">
        <v>14</v>
      </c>
      <c r="E55" s="339"/>
      <c r="F55" s="340"/>
      <c r="G55" s="300">
        <v>-0.64</v>
      </c>
      <c r="H55" s="300"/>
      <c r="I55" s="300"/>
      <c r="J55" s="300"/>
      <c r="K55" s="300">
        <v>44.426000000000002</v>
      </c>
      <c r="L55" s="300"/>
      <c r="M55" s="300"/>
      <c r="N55" s="300"/>
      <c r="O55" s="300"/>
      <c r="P55" s="301">
        <f>(K55-G55)*1000</f>
        <v>45066</v>
      </c>
      <c r="Q55" s="301"/>
      <c r="R55" s="301"/>
      <c r="S55" s="301"/>
      <c r="T55" s="301"/>
      <c r="U55" s="116"/>
      <c r="V55" s="117"/>
      <c r="W55" s="117"/>
      <c r="X55" s="117"/>
      <c r="Y55" s="118"/>
      <c r="Z55" s="156"/>
      <c r="AA55" s="156"/>
      <c r="AB55" s="156"/>
      <c r="AC55" s="393"/>
      <c r="AD55" s="394"/>
      <c r="AE55" s="394"/>
      <c r="AF55" s="394"/>
      <c r="AG55" s="394"/>
      <c r="AH55" s="395"/>
      <c r="AI55" s="295">
        <v>90</v>
      </c>
      <c r="AJ55" s="295"/>
      <c r="AK55" s="295"/>
      <c r="AL55" s="295"/>
      <c r="AM55" s="295">
        <v>90.58</v>
      </c>
      <c r="AN55" s="295"/>
      <c r="AO55" s="295"/>
      <c r="AP55" s="295"/>
      <c r="AQ55" s="295"/>
      <c r="AR55" s="296">
        <f t="shared" si="1"/>
        <v>579.99999999999829</v>
      </c>
      <c r="AS55" s="296"/>
      <c r="AT55" s="296"/>
      <c r="AU55" s="296"/>
      <c r="AV55" s="296"/>
      <c r="AW55" s="98"/>
      <c r="AX55" s="99"/>
      <c r="AY55" s="99"/>
      <c r="AZ55" s="99"/>
      <c r="BA55" s="100"/>
      <c r="BB55" s="176"/>
      <c r="BC55" s="156"/>
      <c r="BD55" s="435"/>
      <c r="BE55" s="436"/>
      <c r="BF55" s="436"/>
      <c r="BG55" s="436"/>
      <c r="BH55" s="436"/>
      <c r="BI55" s="437"/>
      <c r="BJ55" s="438">
        <v>160.08000000000001</v>
      </c>
      <c r="BK55" s="439"/>
      <c r="BL55" s="439"/>
      <c r="BM55" s="440"/>
      <c r="BN55" s="438">
        <v>161.05000000000001</v>
      </c>
      <c r="BO55" s="439"/>
      <c r="BP55" s="439"/>
      <c r="BQ55" s="439"/>
      <c r="BR55" s="440"/>
      <c r="BS55" s="441">
        <f t="shared" si="2"/>
        <v>969.99999999999886</v>
      </c>
      <c r="BT55" s="442"/>
      <c r="BU55" s="442"/>
      <c r="BV55" s="442"/>
      <c r="BW55" s="443"/>
      <c r="BX55" s="444">
        <f>SUM(BS52:BW55)</f>
        <v>69670.000000000029</v>
      </c>
      <c r="BY55" s="436"/>
      <c r="BZ55" s="436"/>
      <c r="CA55" s="436"/>
      <c r="CB55" s="445"/>
      <c r="CC55" s="156"/>
      <c r="CD55" s="156"/>
      <c r="CE55" s="156"/>
      <c r="CF55" s="156"/>
      <c r="CG55" s="156"/>
      <c r="CH55" s="156"/>
      <c r="CI55" s="156"/>
      <c r="CJ55" s="359" t="s">
        <v>14</v>
      </c>
      <c r="CK55" s="360"/>
      <c r="CL55" s="360"/>
      <c r="CM55" s="360"/>
      <c r="CN55" s="360"/>
      <c r="CO55" s="361"/>
      <c r="CP55" s="300">
        <v>189.85</v>
      </c>
      <c r="CQ55" s="300"/>
      <c r="CR55" s="300"/>
      <c r="CS55" s="300"/>
      <c r="CT55" s="300">
        <v>226.28</v>
      </c>
      <c r="CU55" s="300"/>
      <c r="CV55" s="300"/>
      <c r="CW55" s="300"/>
      <c r="CX55" s="300"/>
      <c r="CY55" s="301">
        <f t="shared" si="3"/>
        <v>36430.000000000007</v>
      </c>
      <c r="CZ55" s="301"/>
      <c r="DA55" s="301"/>
      <c r="DB55" s="301"/>
      <c r="DC55" s="301"/>
      <c r="DD55" s="122"/>
      <c r="DE55" s="123"/>
      <c r="DF55" s="123"/>
      <c r="DG55" s="123"/>
      <c r="DH55" s="119"/>
      <c r="DI55" s="170"/>
      <c r="DJ55" s="160"/>
      <c r="DK55" s="2"/>
      <c r="DL55" s="2"/>
      <c r="DO55" s="69"/>
      <c r="DP55" s="69"/>
      <c r="DQ55" s="69"/>
      <c r="DR55" s="69"/>
      <c r="DS55" s="69"/>
      <c r="DT55" s="69"/>
      <c r="DU55" s="67"/>
      <c r="DV55" s="67"/>
      <c r="DW55" s="67"/>
      <c r="DX55" s="67"/>
      <c r="DY55" s="67"/>
      <c r="DZ55" s="67"/>
      <c r="EA55" s="67"/>
      <c r="EB55" s="67"/>
      <c r="EC55" s="67"/>
      <c r="ED55" s="62"/>
      <c r="EE55" s="62"/>
      <c r="EF55" s="62"/>
      <c r="EG55" s="62"/>
      <c r="EH55" s="62"/>
      <c r="EI55" s="62"/>
      <c r="EJ55" s="62"/>
      <c r="EK55" s="62"/>
      <c r="EL55" s="62"/>
      <c r="EM55" s="61"/>
    </row>
    <row r="56" spans="3:143" x14ac:dyDescent="0.2">
      <c r="C56" s="169"/>
      <c r="D56" s="341"/>
      <c r="E56" s="342"/>
      <c r="F56" s="343"/>
      <c r="G56" s="335">
        <v>45</v>
      </c>
      <c r="H56" s="335"/>
      <c r="I56" s="335"/>
      <c r="J56" s="335"/>
      <c r="K56" s="335">
        <v>45.59</v>
      </c>
      <c r="L56" s="335"/>
      <c r="M56" s="335"/>
      <c r="N56" s="335"/>
      <c r="O56" s="335"/>
      <c r="P56" s="311">
        <f>(K56-G56)*1000</f>
        <v>590.00000000000341</v>
      </c>
      <c r="Q56" s="311"/>
      <c r="R56" s="311"/>
      <c r="S56" s="311"/>
      <c r="T56" s="311"/>
      <c r="U56" s="312"/>
      <c r="V56" s="313"/>
      <c r="W56" s="313"/>
      <c r="X56" s="313"/>
      <c r="Y56" s="314"/>
      <c r="Z56" s="156"/>
      <c r="AA56" s="156"/>
      <c r="AB56" s="156"/>
      <c r="AC56" s="393"/>
      <c r="AD56" s="394"/>
      <c r="AE56" s="394"/>
      <c r="AF56" s="394"/>
      <c r="AG56" s="394"/>
      <c r="AH56" s="395"/>
      <c r="AI56" s="405">
        <v>0</v>
      </c>
      <c r="AJ56" s="406"/>
      <c r="AK56" s="406"/>
      <c r="AL56" s="407"/>
      <c r="AM56" s="405">
        <v>0</v>
      </c>
      <c r="AN56" s="406"/>
      <c r="AO56" s="406"/>
      <c r="AP56" s="406"/>
      <c r="AQ56" s="407"/>
      <c r="AR56" s="320">
        <f t="shared" si="1"/>
        <v>0</v>
      </c>
      <c r="AS56" s="320"/>
      <c r="AT56" s="320"/>
      <c r="AU56" s="320"/>
      <c r="AV56" s="320"/>
      <c r="AW56" s="258">
        <f>SUM(AR54:AV57)</f>
        <v>44867.000000000007</v>
      </c>
      <c r="AX56" s="259"/>
      <c r="AY56" s="259"/>
      <c r="AZ56" s="259"/>
      <c r="BA56" s="297"/>
      <c r="BB56" s="176"/>
      <c r="BC56" s="156"/>
      <c r="BD56" s="80" t="s">
        <v>1693</v>
      </c>
      <c r="BE56" s="81"/>
      <c r="BF56" s="81"/>
      <c r="BG56" s="81"/>
      <c r="BH56" s="81"/>
      <c r="BI56" s="82"/>
      <c r="BJ56" s="429">
        <v>90.58</v>
      </c>
      <c r="BK56" s="430"/>
      <c r="BL56" s="430"/>
      <c r="BM56" s="431"/>
      <c r="BN56" s="429">
        <v>157</v>
      </c>
      <c r="BO56" s="430"/>
      <c r="BP56" s="430"/>
      <c r="BQ56" s="430"/>
      <c r="BR56" s="431"/>
      <c r="BS56" s="432">
        <f t="shared" ref="BS56:BS59" si="4">(BN56-BJ56)*1000</f>
        <v>66420</v>
      </c>
      <c r="BT56" s="433"/>
      <c r="BU56" s="433"/>
      <c r="BV56" s="433"/>
      <c r="BW56" s="434"/>
      <c r="BX56" s="356"/>
      <c r="BY56" s="357"/>
      <c r="BZ56" s="357"/>
      <c r="CA56" s="357"/>
      <c r="CB56" s="358"/>
      <c r="CC56" s="156"/>
      <c r="CD56" s="156"/>
      <c r="CE56" s="156"/>
      <c r="CF56" s="156"/>
      <c r="CG56" s="156"/>
      <c r="CH56" s="156"/>
      <c r="CI56" s="156"/>
      <c r="CJ56" s="362"/>
      <c r="CK56" s="363"/>
      <c r="CL56" s="363"/>
      <c r="CM56" s="363"/>
      <c r="CN56" s="363"/>
      <c r="CO56" s="364"/>
      <c r="CP56" s="446">
        <v>0</v>
      </c>
      <c r="CQ56" s="446"/>
      <c r="CR56" s="446"/>
      <c r="CS56" s="446"/>
      <c r="CT56" s="446">
        <v>0</v>
      </c>
      <c r="CU56" s="446"/>
      <c r="CV56" s="446"/>
      <c r="CW56" s="446"/>
      <c r="CX56" s="446"/>
      <c r="CY56" s="455">
        <f t="shared" si="3"/>
        <v>0</v>
      </c>
      <c r="CZ56" s="455"/>
      <c r="DA56" s="455"/>
      <c r="DB56" s="455"/>
      <c r="DC56" s="455"/>
      <c r="DD56" s="122"/>
      <c r="DE56" s="123"/>
      <c r="DF56" s="123"/>
      <c r="DG56" s="123"/>
      <c r="DH56" s="119"/>
      <c r="DI56" s="170"/>
      <c r="DJ56" s="160"/>
      <c r="DK56" s="2"/>
      <c r="DL56" s="2"/>
      <c r="DO56" s="69"/>
      <c r="DP56" s="69"/>
      <c r="DQ56" s="69"/>
      <c r="DR56" s="69"/>
      <c r="DS56" s="69"/>
      <c r="DT56" s="69"/>
      <c r="DU56" s="67"/>
      <c r="DV56" s="67"/>
      <c r="DW56" s="67"/>
      <c r="DX56" s="67"/>
      <c r="DY56" s="67"/>
      <c r="DZ56" s="67"/>
      <c r="EA56" s="67"/>
      <c r="EB56" s="67"/>
      <c r="EC56" s="67"/>
      <c r="ED56" s="62"/>
      <c r="EE56" s="62"/>
      <c r="EF56" s="62"/>
      <c r="EG56" s="62"/>
      <c r="EH56" s="62"/>
      <c r="EI56" s="62"/>
      <c r="EJ56" s="62"/>
      <c r="EK56" s="62"/>
      <c r="EL56" s="62"/>
      <c r="EM56" s="61"/>
    </row>
    <row r="57" spans="3:143" ht="15" thickBot="1" x14ac:dyDescent="0.25">
      <c r="C57" s="169"/>
      <c r="D57" s="344"/>
      <c r="E57" s="345"/>
      <c r="F57" s="346"/>
      <c r="G57" s="315">
        <v>0</v>
      </c>
      <c r="H57" s="315"/>
      <c r="I57" s="315"/>
      <c r="J57" s="315"/>
      <c r="K57" s="315">
        <v>0</v>
      </c>
      <c r="L57" s="315"/>
      <c r="M57" s="315"/>
      <c r="N57" s="315"/>
      <c r="O57" s="315"/>
      <c r="P57" s="316">
        <f>(K57-G57)*1000</f>
        <v>0</v>
      </c>
      <c r="Q57" s="316"/>
      <c r="R57" s="316"/>
      <c r="S57" s="316"/>
      <c r="T57" s="316"/>
      <c r="U57" s="317">
        <f>P55+P56+P57</f>
        <v>45656</v>
      </c>
      <c r="V57" s="318"/>
      <c r="W57" s="318"/>
      <c r="X57" s="318"/>
      <c r="Y57" s="319"/>
      <c r="Z57" s="156"/>
      <c r="AA57" s="156"/>
      <c r="AB57" s="156"/>
      <c r="AC57" s="396"/>
      <c r="AD57" s="397"/>
      <c r="AE57" s="397"/>
      <c r="AF57" s="397"/>
      <c r="AG57" s="397"/>
      <c r="AH57" s="398"/>
      <c r="AI57" s="331">
        <v>0</v>
      </c>
      <c r="AJ57" s="331"/>
      <c r="AK57" s="331"/>
      <c r="AL57" s="331"/>
      <c r="AM57" s="331">
        <v>0</v>
      </c>
      <c r="AN57" s="331"/>
      <c r="AO57" s="331"/>
      <c r="AP57" s="331"/>
      <c r="AQ57" s="331"/>
      <c r="AR57" s="278">
        <f>(AM57-AI57)*1000</f>
        <v>0</v>
      </c>
      <c r="AS57" s="278"/>
      <c r="AT57" s="278"/>
      <c r="AU57" s="278"/>
      <c r="AV57" s="278"/>
      <c r="AW57" s="248"/>
      <c r="AX57" s="249"/>
      <c r="AY57" s="249"/>
      <c r="AZ57" s="249"/>
      <c r="BA57" s="250"/>
      <c r="BB57" s="176"/>
      <c r="BC57" s="156"/>
      <c r="BD57" s="152"/>
      <c r="BE57" s="153"/>
      <c r="BF57" s="153"/>
      <c r="BG57" s="153"/>
      <c r="BH57" s="153"/>
      <c r="BI57" s="154"/>
      <c r="BJ57" s="417">
        <v>157.35</v>
      </c>
      <c r="BK57" s="418"/>
      <c r="BL57" s="418"/>
      <c r="BM57" s="419"/>
      <c r="BN57" s="417">
        <v>158.93</v>
      </c>
      <c r="BO57" s="418"/>
      <c r="BP57" s="418"/>
      <c r="BQ57" s="418"/>
      <c r="BR57" s="419"/>
      <c r="BS57" s="466">
        <f>(BN57-BJ57)*1000</f>
        <v>1580.0000000000125</v>
      </c>
      <c r="BT57" s="467"/>
      <c r="BU57" s="467"/>
      <c r="BV57" s="467"/>
      <c r="BW57" s="468"/>
      <c r="BX57" s="353"/>
      <c r="BY57" s="354"/>
      <c r="BZ57" s="354"/>
      <c r="CA57" s="354"/>
      <c r="CB57" s="355"/>
      <c r="CC57" s="156"/>
      <c r="CD57" s="156"/>
      <c r="CE57" s="156"/>
      <c r="CF57" s="156"/>
      <c r="CG57" s="156"/>
      <c r="CH57" s="156"/>
      <c r="CI57" s="156"/>
      <c r="CJ57" s="365"/>
      <c r="CK57" s="366"/>
      <c r="CL57" s="366"/>
      <c r="CM57" s="366"/>
      <c r="CN57" s="366"/>
      <c r="CO57" s="367"/>
      <c r="CP57" s="315">
        <v>0</v>
      </c>
      <c r="CQ57" s="315"/>
      <c r="CR57" s="315"/>
      <c r="CS57" s="315"/>
      <c r="CT57" s="315">
        <v>0</v>
      </c>
      <c r="CU57" s="315"/>
      <c r="CV57" s="315"/>
      <c r="CW57" s="315"/>
      <c r="CX57" s="315"/>
      <c r="CY57" s="316">
        <f t="shared" si="3"/>
        <v>0</v>
      </c>
      <c r="CZ57" s="316"/>
      <c r="DA57" s="316"/>
      <c r="DB57" s="316"/>
      <c r="DC57" s="316"/>
      <c r="DD57" s="317">
        <f>CY55+CY56+CY57</f>
        <v>36430.000000000007</v>
      </c>
      <c r="DE57" s="318"/>
      <c r="DF57" s="318"/>
      <c r="DG57" s="318"/>
      <c r="DH57" s="319"/>
      <c r="DI57" s="170"/>
      <c r="DJ57" s="160"/>
      <c r="DK57" s="2"/>
      <c r="DL57" s="2"/>
      <c r="DO57" s="69"/>
      <c r="DP57" s="69"/>
      <c r="DQ57" s="69"/>
      <c r="DR57" s="69"/>
      <c r="DS57" s="69"/>
      <c r="DT57" s="69"/>
      <c r="DU57" s="67"/>
      <c r="DV57" s="67"/>
      <c r="DW57" s="67"/>
      <c r="DX57" s="67"/>
      <c r="DY57" s="67"/>
      <c r="DZ57" s="67"/>
      <c r="EA57" s="67"/>
      <c r="EB57" s="67"/>
      <c r="EC57" s="67"/>
      <c r="ED57" s="62"/>
      <c r="EE57" s="62"/>
      <c r="EF57" s="62"/>
      <c r="EG57" s="62"/>
      <c r="EH57" s="62"/>
      <c r="EI57" s="62"/>
      <c r="EJ57" s="62"/>
      <c r="EK57" s="62"/>
      <c r="EL57" s="62"/>
      <c r="EM57" s="62"/>
    </row>
    <row r="58" spans="3:143" ht="15" thickBot="1" x14ac:dyDescent="0.25">
      <c r="C58" s="169"/>
      <c r="D58" s="321" t="s">
        <v>1732</v>
      </c>
      <c r="E58" s="322"/>
      <c r="F58" s="323"/>
      <c r="G58" s="326">
        <v>-0.64</v>
      </c>
      <c r="H58" s="326"/>
      <c r="I58" s="326"/>
      <c r="J58" s="326"/>
      <c r="K58" s="326">
        <v>44.426000000000002</v>
      </c>
      <c r="L58" s="326"/>
      <c r="M58" s="326"/>
      <c r="N58" s="326"/>
      <c r="O58" s="326"/>
      <c r="P58" s="328">
        <f>(K58-G58)*1000</f>
        <v>45066</v>
      </c>
      <c r="Q58" s="328"/>
      <c r="R58" s="328"/>
      <c r="S58" s="328"/>
      <c r="T58" s="328"/>
      <c r="U58" s="329"/>
      <c r="V58" s="322"/>
      <c r="W58" s="322"/>
      <c r="X58" s="322"/>
      <c r="Y58" s="330"/>
      <c r="AC58" s="332" t="s">
        <v>14</v>
      </c>
      <c r="AD58" s="273"/>
      <c r="AE58" s="273"/>
      <c r="AF58" s="273"/>
      <c r="AG58" s="273"/>
      <c r="AH58" s="274"/>
      <c r="AI58" s="277">
        <v>45.58</v>
      </c>
      <c r="AJ58" s="277"/>
      <c r="AK58" s="277"/>
      <c r="AL58" s="277"/>
      <c r="AM58" s="277">
        <v>89.867000000000004</v>
      </c>
      <c r="AN58" s="277"/>
      <c r="AO58" s="277"/>
      <c r="AP58" s="277"/>
      <c r="AQ58" s="277"/>
      <c r="AR58" s="327">
        <f>(AM58-AI58)*1000</f>
        <v>44287.000000000007</v>
      </c>
      <c r="AS58" s="327"/>
      <c r="AT58" s="327"/>
      <c r="AU58" s="327"/>
      <c r="AV58" s="327"/>
      <c r="AW58" s="101"/>
      <c r="AX58" s="102"/>
      <c r="AY58" s="102"/>
      <c r="AZ58" s="102"/>
      <c r="BA58" s="103"/>
      <c r="BB58" s="13"/>
      <c r="BD58" s="469"/>
      <c r="BE58" s="470"/>
      <c r="BF58" s="470"/>
      <c r="BG58" s="470"/>
      <c r="BH58" s="470"/>
      <c r="BI58" s="471"/>
      <c r="BJ58" s="417">
        <v>159.26</v>
      </c>
      <c r="BK58" s="418"/>
      <c r="BL58" s="418"/>
      <c r="BM58" s="419"/>
      <c r="BN58" s="417">
        <v>159.44999999999999</v>
      </c>
      <c r="BO58" s="418"/>
      <c r="BP58" s="418"/>
      <c r="BQ58" s="418"/>
      <c r="BR58" s="419"/>
      <c r="BS58" s="466">
        <f t="shared" ref="BS58:BS59" si="5">(BN58-BJ58)*1000</f>
        <v>189.99999999999773</v>
      </c>
      <c r="BT58" s="467"/>
      <c r="BU58" s="467"/>
      <c r="BV58" s="467"/>
      <c r="BW58" s="468"/>
      <c r="BX58" s="353"/>
      <c r="BY58" s="354"/>
      <c r="BZ58" s="354"/>
      <c r="CA58" s="354"/>
      <c r="CB58" s="355"/>
      <c r="CC58" s="6"/>
      <c r="CD58" s="6"/>
      <c r="CE58" s="6"/>
      <c r="CJ58" s="349" t="s">
        <v>1732</v>
      </c>
      <c r="CK58" s="347"/>
      <c r="CL58" s="347"/>
      <c r="CM58" s="347"/>
      <c r="CN58" s="347"/>
      <c r="CO58" s="347"/>
      <c r="CP58" s="454">
        <v>189.8</v>
      </c>
      <c r="CQ58" s="454"/>
      <c r="CR58" s="454"/>
      <c r="CS58" s="454"/>
      <c r="CT58" s="454">
        <v>226.28</v>
      </c>
      <c r="CU58" s="454"/>
      <c r="CV58" s="454"/>
      <c r="CW58" s="454"/>
      <c r="CX58" s="454"/>
      <c r="CY58" s="347">
        <f t="shared" si="3"/>
        <v>36479.999999999993</v>
      </c>
      <c r="CZ58" s="347"/>
      <c r="DA58" s="347"/>
      <c r="DB58" s="347"/>
      <c r="DC58" s="347"/>
      <c r="DD58" s="317">
        <f>CY58</f>
        <v>36479.999999999993</v>
      </c>
      <c r="DE58" s="318"/>
      <c r="DF58" s="318"/>
      <c r="DG58" s="318"/>
      <c r="DH58" s="319"/>
      <c r="DI58" s="13"/>
      <c r="DO58" s="62"/>
      <c r="DP58" s="62"/>
      <c r="DQ58" s="62"/>
      <c r="DR58" s="62"/>
      <c r="DS58" s="62"/>
      <c r="DT58" s="62"/>
      <c r="DU58" s="67"/>
      <c r="DV58" s="67"/>
      <c r="DW58" s="67"/>
      <c r="DX58" s="67"/>
      <c r="DY58" s="67"/>
      <c r="DZ58" s="67"/>
      <c r="EA58" s="67"/>
      <c r="EB58" s="67"/>
      <c r="EC58" s="67"/>
      <c r="ED58" s="62"/>
      <c r="EE58" s="62"/>
      <c r="EF58" s="62"/>
      <c r="EG58" s="62"/>
      <c r="EH58" s="62"/>
      <c r="EI58" s="62"/>
      <c r="EJ58" s="62"/>
      <c r="EK58" s="62"/>
      <c r="EL58" s="62"/>
      <c r="EM58" s="62"/>
    </row>
    <row r="59" spans="3:143" ht="15" thickBot="1" x14ac:dyDescent="0.25">
      <c r="C59" s="169"/>
      <c r="D59" s="324"/>
      <c r="E59" s="318"/>
      <c r="F59" s="325"/>
      <c r="G59" s="315">
        <v>45</v>
      </c>
      <c r="H59" s="315"/>
      <c r="I59" s="315"/>
      <c r="J59" s="315"/>
      <c r="K59" s="315">
        <v>45.59</v>
      </c>
      <c r="L59" s="315"/>
      <c r="M59" s="315"/>
      <c r="N59" s="315"/>
      <c r="O59" s="315"/>
      <c r="P59" s="316">
        <f>(K59-G59)*1000</f>
        <v>590.00000000000341</v>
      </c>
      <c r="Q59" s="316"/>
      <c r="R59" s="316"/>
      <c r="S59" s="316"/>
      <c r="T59" s="316"/>
      <c r="U59" s="317">
        <f>P58+P59</f>
        <v>45656</v>
      </c>
      <c r="V59" s="318"/>
      <c r="W59" s="318"/>
      <c r="X59" s="318"/>
      <c r="Y59" s="319"/>
      <c r="AC59" s="333"/>
      <c r="AD59" s="249"/>
      <c r="AE59" s="249"/>
      <c r="AF59" s="249"/>
      <c r="AG59" s="249"/>
      <c r="AH59" s="334"/>
      <c r="AI59" s="331">
        <v>90</v>
      </c>
      <c r="AJ59" s="331"/>
      <c r="AK59" s="331"/>
      <c r="AL59" s="331"/>
      <c r="AM59" s="331">
        <v>90.58</v>
      </c>
      <c r="AN59" s="331"/>
      <c r="AO59" s="331"/>
      <c r="AP59" s="331"/>
      <c r="AQ59" s="331"/>
      <c r="AR59" s="278">
        <f>(AM59-AI59)*1000</f>
        <v>579.99999999999829</v>
      </c>
      <c r="AS59" s="278"/>
      <c r="AT59" s="278"/>
      <c r="AU59" s="278"/>
      <c r="AV59" s="278"/>
      <c r="AW59" s="248">
        <f>AR58+AR59</f>
        <v>44867.000000000007</v>
      </c>
      <c r="AX59" s="249"/>
      <c r="AY59" s="249"/>
      <c r="AZ59" s="249"/>
      <c r="BA59" s="250"/>
      <c r="BB59" s="13"/>
      <c r="BD59" s="435"/>
      <c r="BE59" s="436"/>
      <c r="BF59" s="436"/>
      <c r="BG59" s="436"/>
      <c r="BH59" s="436"/>
      <c r="BI59" s="437"/>
      <c r="BJ59" s="438">
        <v>159.65</v>
      </c>
      <c r="BK59" s="439"/>
      <c r="BL59" s="439"/>
      <c r="BM59" s="440"/>
      <c r="BN59" s="438">
        <v>159.94999999999999</v>
      </c>
      <c r="BO59" s="439"/>
      <c r="BP59" s="439"/>
      <c r="BQ59" s="439"/>
      <c r="BR59" s="440"/>
      <c r="BS59" s="441">
        <f t="shared" si="5"/>
        <v>299.99999999998295</v>
      </c>
      <c r="BT59" s="442"/>
      <c r="BU59" s="442"/>
      <c r="BV59" s="442"/>
      <c r="BW59" s="443"/>
      <c r="BX59" s="444">
        <f>SUM(BS56:BW59)</f>
        <v>68490</v>
      </c>
      <c r="BY59" s="436"/>
      <c r="BZ59" s="436"/>
      <c r="CA59" s="436"/>
      <c r="CB59" s="445"/>
      <c r="DI59" s="13"/>
    </row>
    <row r="60" spans="3:143" ht="15.75" thickBot="1" x14ac:dyDescent="0.3">
      <c r="C60" s="169"/>
      <c r="F60" s="159" t="s">
        <v>1779</v>
      </c>
      <c r="AC60" s="332" t="s">
        <v>1732</v>
      </c>
      <c r="AD60" s="273"/>
      <c r="AE60" s="273"/>
      <c r="AF60" s="273"/>
      <c r="AG60" s="273"/>
      <c r="AH60" s="274"/>
      <c r="AI60" s="277">
        <v>45.58</v>
      </c>
      <c r="AJ60" s="277"/>
      <c r="AK60" s="277"/>
      <c r="AL60" s="277"/>
      <c r="AM60" s="277">
        <v>89.867000000000004</v>
      </c>
      <c r="AN60" s="277"/>
      <c r="AO60" s="277"/>
      <c r="AP60" s="277"/>
      <c r="AQ60" s="277"/>
      <c r="AR60" s="327">
        <f>(AM60-AI60)*1000</f>
        <v>44287.000000000007</v>
      </c>
      <c r="AS60" s="327"/>
      <c r="AT60" s="327"/>
      <c r="AU60" s="327"/>
      <c r="AV60" s="327"/>
      <c r="AW60" s="104"/>
      <c r="AX60" s="105"/>
      <c r="AY60" s="105"/>
      <c r="AZ60" s="105"/>
      <c r="BA60" s="106"/>
      <c r="BB60" s="13"/>
      <c r="BD60" s="473" t="s">
        <v>14</v>
      </c>
      <c r="BE60" s="474"/>
      <c r="BF60" s="474"/>
      <c r="BG60" s="474"/>
      <c r="BH60" s="474"/>
      <c r="BI60" s="475"/>
      <c r="BJ60" s="476">
        <v>90.58</v>
      </c>
      <c r="BK60" s="477"/>
      <c r="BL60" s="477"/>
      <c r="BM60" s="478"/>
      <c r="BN60" s="476">
        <v>156.66</v>
      </c>
      <c r="BO60" s="477"/>
      <c r="BP60" s="477"/>
      <c r="BQ60" s="477"/>
      <c r="BR60" s="478"/>
      <c r="BS60" s="456">
        <f t="shared" ref="BS60:BS61" si="6">(BN60-BJ60)*1000</f>
        <v>66080</v>
      </c>
      <c r="BT60" s="457"/>
      <c r="BU60" s="457"/>
      <c r="BV60" s="457"/>
      <c r="BW60" s="479"/>
      <c r="BX60" s="456">
        <f>BS60</f>
        <v>66080</v>
      </c>
      <c r="BY60" s="457"/>
      <c r="BZ60" s="457"/>
      <c r="CA60" s="457"/>
      <c r="CB60" s="458"/>
      <c r="DI60" s="13"/>
    </row>
    <row r="61" spans="3:143" ht="15" customHeight="1" thickBot="1" x14ac:dyDescent="0.3">
      <c r="C61" s="169"/>
      <c r="E61" s="107" t="s">
        <v>1732</v>
      </c>
      <c r="F61" s="108"/>
      <c r="G61" s="305">
        <f>U59+AW61+AW81</f>
        <v>115363</v>
      </c>
      <c r="H61" s="306"/>
      <c r="I61" s="306"/>
      <c r="J61" s="306"/>
      <c r="K61" s="307"/>
      <c r="L61" s="147"/>
      <c r="M61" s="147"/>
      <c r="N61" s="147"/>
      <c r="O61" s="147"/>
      <c r="P61" s="148"/>
      <c r="Q61" s="148"/>
      <c r="R61" s="148"/>
      <c r="S61" s="148"/>
      <c r="T61" s="148"/>
      <c r="U61" s="156"/>
      <c r="V61" s="156"/>
      <c r="W61" s="156"/>
      <c r="X61" s="156"/>
      <c r="Y61" s="156"/>
      <c r="AC61" s="333"/>
      <c r="AD61" s="249"/>
      <c r="AE61" s="249"/>
      <c r="AF61" s="249"/>
      <c r="AG61" s="249"/>
      <c r="AH61" s="334"/>
      <c r="AI61" s="295">
        <v>90</v>
      </c>
      <c r="AJ61" s="295"/>
      <c r="AK61" s="295"/>
      <c r="AL61" s="295"/>
      <c r="AM61" s="295">
        <v>90.58</v>
      </c>
      <c r="AN61" s="295"/>
      <c r="AO61" s="295"/>
      <c r="AP61" s="295"/>
      <c r="AQ61" s="295"/>
      <c r="AR61" s="278">
        <f>(AM61-AI61)*1000</f>
        <v>579.99999999999829</v>
      </c>
      <c r="AS61" s="278"/>
      <c r="AT61" s="278"/>
      <c r="AU61" s="278"/>
      <c r="AV61" s="278"/>
      <c r="AW61" s="248">
        <f>AR60+AR61</f>
        <v>44867.000000000007</v>
      </c>
      <c r="AX61" s="249"/>
      <c r="AY61" s="249"/>
      <c r="AZ61" s="249"/>
      <c r="BA61" s="250"/>
      <c r="BB61" s="13"/>
      <c r="BD61" s="480" t="s">
        <v>1732</v>
      </c>
      <c r="BE61" s="457"/>
      <c r="BF61" s="457"/>
      <c r="BG61" s="457"/>
      <c r="BH61" s="457"/>
      <c r="BI61" s="479"/>
      <c r="BJ61" s="476">
        <v>90.58</v>
      </c>
      <c r="BK61" s="477"/>
      <c r="BL61" s="477"/>
      <c r="BM61" s="478"/>
      <c r="BN61" s="476">
        <v>165</v>
      </c>
      <c r="BO61" s="477"/>
      <c r="BP61" s="477"/>
      <c r="BQ61" s="477"/>
      <c r="BR61" s="478"/>
      <c r="BS61" s="456">
        <f t="shared" si="6"/>
        <v>74420</v>
      </c>
      <c r="BT61" s="457"/>
      <c r="BU61" s="457"/>
      <c r="BV61" s="457"/>
      <c r="BW61" s="479"/>
      <c r="BX61" s="456">
        <f>BS61</f>
        <v>74420</v>
      </c>
      <c r="BY61" s="457"/>
      <c r="BZ61" s="457"/>
      <c r="CA61" s="457"/>
      <c r="CB61" s="458"/>
      <c r="DI61" s="13"/>
    </row>
    <row r="62" spans="3:143" ht="14.25" customHeight="1" thickBot="1" x14ac:dyDescent="0.3">
      <c r="C62" s="169"/>
      <c r="E62" s="109" t="s">
        <v>1776</v>
      </c>
      <c r="F62" s="110"/>
      <c r="G62" s="302">
        <f>U48+AW49+AW66</f>
        <v>112243</v>
      </c>
      <c r="H62" s="303"/>
      <c r="I62" s="303"/>
      <c r="J62" s="303"/>
      <c r="K62" s="304"/>
      <c r="L62" s="147"/>
      <c r="M62" s="147"/>
      <c r="N62" s="147"/>
      <c r="O62" s="147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AC62" s="165"/>
      <c r="AD62" s="165"/>
      <c r="AE62" s="165"/>
      <c r="AF62" s="165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6"/>
      <c r="AR62" s="165"/>
      <c r="AS62" s="165"/>
      <c r="AT62" s="165"/>
      <c r="AU62" s="165"/>
      <c r="AV62" s="165"/>
      <c r="AW62" s="165"/>
      <c r="AX62" s="165"/>
      <c r="AY62" s="165"/>
      <c r="AZ62" s="165"/>
      <c r="BA62" s="165"/>
      <c r="BB62" s="13"/>
      <c r="BC62" s="61"/>
      <c r="BD62" s="73"/>
      <c r="BE62" s="73"/>
      <c r="BF62" s="73"/>
      <c r="BG62" s="73"/>
      <c r="BH62" s="73"/>
      <c r="BI62" s="73"/>
      <c r="BJ62" s="67"/>
      <c r="BK62" s="67"/>
      <c r="BL62" s="67"/>
      <c r="BM62" s="67"/>
      <c r="BN62" s="67"/>
      <c r="BO62" s="67"/>
      <c r="BP62" s="67"/>
      <c r="BQ62" s="67"/>
      <c r="BR62" s="67"/>
      <c r="BS62" s="62"/>
      <c r="BT62" s="62"/>
      <c r="BU62" s="62"/>
      <c r="BV62" s="62"/>
      <c r="BW62" s="62"/>
      <c r="BX62" s="62"/>
      <c r="BY62" s="62"/>
      <c r="BZ62" s="62"/>
      <c r="CA62" s="62"/>
      <c r="CB62" s="62"/>
      <c r="DI62" s="13"/>
    </row>
    <row r="63" spans="3:143" ht="15.75" thickBot="1" x14ac:dyDescent="0.3">
      <c r="C63" s="169"/>
      <c r="E63" s="109" t="s">
        <v>1771</v>
      </c>
      <c r="F63" s="110"/>
      <c r="G63" s="302">
        <f>U51+AW53+AW75</f>
        <v>109373.00000000003</v>
      </c>
      <c r="H63" s="303"/>
      <c r="I63" s="303"/>
      <c r="J63" s="303"/>
      <c r="K63" s="304"/>
      <c r="L63" s="147"/>
      <c r="M63" s="147"/>
      <c r="N63" s="147"/>
      <c r="O63" s="147"/>
      <c r="P63" s="148"/>
      <c r="Q63" s="148"/>
      <c r="R63" s="148"/>
      <c r="S63" s="148"/>
      <c r="T63" s="148"/>
      <c r="U63" s="156"/>
      <c r="V63" s="156"/>
      <c r="W63" s="156"/>
      <c r="X63" s="156"/>
      <c r="Y63" s="156"/>
      <c r="AC63" t="s">
        <v>1699</v>
      </c>
      <c r="AE63" t="s">
        <v>1777</v>
      </c>
      <c r="BB63" s="177"/>
      <c r="BC63" s="61"/>
      <c r="BD63" s="156"/>
      <c r="BE63" s="146"/>
      <c r="BF63" s="146"/>
      <c r="BG63" s="146"/>
      <c r="BH63" s="147"/>
      <c r="BI63" s="147"/>
      <c r="BJ63" s="147"/>
      <c r="BK63" s="147"/>
      <c r="BL63" s="147"/>
      <c r="BM63" s="147"/>
      <c r="BN63" s="156"/>
      <c r="BO63" s="156"/>
      <c r="BP63" s="156"/>
      <c r="BQ63" s="156"/>
      <c r="BR63" s="83" t="s">
        <v>1732</v>
      </c>
      <c r="BS63" s="84"/>
      <c r="BT63" s="85"/>
      <c r="BU63" s="86"/>
      <c r="BV63" s="481">
        <f>DD58+BX61</f>
        <v>110900</v>
      </c>
      <c r="BW63" s="482"/>
      <c r="BX63" s="482"/>
      <c r="BY63" s="482"/>
      <c r="BZ63" s="482"/>
      <c r="CA63" s="483"/>
      <c r="CB63" s="156"/>
      <c r="CC63" s="179" t="s">
        <v>1797</v>
      </c>
      <c r="CD63" s="179"/>
      <c r="CE63" s="179"/>
      <c r="CF63" s="179"/>
      <c r="CG63" s="179"/>
      <c r="DI63" s="13"/>
    </row>
    <row r="64" spans="3:143" ht="15.75" thickBot="1" x14ac:dyDescent="0.3">
      <c r="C64" s="169"/>
      <c r="E64" s="109" t="s">
        <v>1772</v>
      </c>
      <c r="F64" s="110"/>
      <c r="G64" s="302">
        <f>U54+AW56+AW79</f>
        <v>109373.00000000003</v>
      </c>
      <c r="H64" s="303"/>
      <c r="I64" s="303"/>
      <c r="J64" s="303"/>
      <c r="K64" s="304"/>
      <c r="L64" s="147"/>
      <c r="M64" s="147"/>
      <c r="N64" s="147"/>
      <c r="O64" s="147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AC64" s="275" t="s">
        <v>1</v>
      </c>
      <c r="AD64" s="276"/>
      <c r="AE64" s="276"/>
      <c r="AF64" s="276"/>
      <c r="AG64" s="276"/>
      <c r="AH64" s="276"/>
      <c r="AI64" s="276" t="s">
        <v>1689</v>
      </c>
      <c r="AJ64" s="276"/>
      <c r="AK64" s="276"/>
      <c r="AL64" s="276"/>
      <c r="AM64" s="276" t="s">
        <v>1690</v>
      </c>
      <c r="AN64" s="276"/>
      <c r="AO64" s="276"/>
      <c r="AP64" s="276"/>
      <c r="AQ64" s="276"/>
      <c r="AR64" s="276" t="s">
        <v>1691</v>
      </c>
      <c r="AS64" s="276"/>
      <c r="AT64" s="276"/>
      <c r="AU64" s="276"/>
      <c r="AV64" s="276"/>
      <c r="AW64" s="272" t="s">
        <v>1686</v>
      </c>
      <c r="AX64" s="273"/>
      <c r="AY64" s="273"/>
      <c r="AZ64" s="273"/>
      <c r="BA64" s="294"/>
      <c r="BB64" s="177"/>
      <c r="BC64" s="61"/>
      <c r="BE64" s="155"/>
      <c r="BF64" s="155"/>
      <c r="BG64" s="155"/>
      <c r="BH64" s="147"/>
      <c r="BI64" s="147"/>
      <c r="BJ64" s="147"/>
      <c r="BK64" s="147"/>
      <c r="BL64" s="147"/>
      <c r="BM64" s="147"/>
      <c r="BR64" s="87" t="s">
        <v>1776</v>
      </c>
      <c r="BS64" s="88"/>
      <c r="BT64" s="89"/>
      <c r="BU64" s="90"/>
      <c r="BV64" s="484">
        <f>DD48+BX49</f>
        <v>107960</v>
      </c>
      <c r="BW64" s="485"/>
      <c r="BX64" s="485"/>
      <c r="BY64" s="485"/>
      <c r="BZ64" s="485"/>
      <c r="CA64" s="486"/>
      <c r="CB64" s="6"/>
      <c r="DI64" s="13"/>
    </row>
    <row r="65" spans="3:152" ht="15.75" thickBot="1" x14ac:dyDescent="0.3">
      <c r="C65" s="169"/>
      <c r="E65" s="111" t="s">
        <v>1773</v>
      </c>
      <c r="F65" s="112"/>
      <c r="G65" s="308">
        <f>U57+AW59+AW80</f>
        <v>107363</v>
      </c>
      <c r="H65" s="309"/>
      <c r="I65" s="309"/>
      <c r="J65" s="309"/>
      <c r="K65" s="310"/>
      <c r="L65" s="147"/>
      <c r="M65" s="147"/>
      <c r="N65" s="147"/>
      <c r="O65" s="147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AC65" s="260" t="s">
        <v>1688</v>
      </c>
      <c r="AD65" s="261"/>
      <c r="AE65" s="261"/>
      <c r="AF65" s="261"/>
      <c r="AG65" s="261"/>
      <c r="AH65" s="262"/>
      <c r="AI65" s="277">
        <v>172.88</v>
      </c>
      <c r="AJ65" s="277"/>
      <c r="AK65" s="277"/>
      <c r="AL65" s="277"/>
      <c r="AM65" s="277">
        <v>189.84</v>
      </c>
      <c r="AN65" s="277"/>
      <c r="AO65" s="277"/>
      <c r="AP65" s="277"/>
      <c r="AQ65" s="277"/>
      <c r="AR65" s="276">
        <f t="shared" ref="AR65:AR81" si="7">(AM65-AI65)*1000</f>
        <v>16960.000000000007</v>
      </c>
      <c r="AS65" s="276"/>
      <c r="AT65" s="276"/>
      <c r="AU65" s="276"/>
      <c r="AV65" s="276"/>
      <c r="AW65" s="101"/>
      <c r="AX65" s="102"/>
      <c r="AY65" s="102"/>
      <c r="AZ65" s="102"/>
      <c r="BA65" s="103"/>
      <c r="BB65" s="13"/>
      <c r="BE65" s="155"/>
      <c r="BF65" s="155"/>
      <c r="BG65" s="155"/>
      <c r="BH65" s="147"/>
      <c r="BI65" s="147"/>
      <c r="BJ65" s="147"/>
      <c r="BK65" s="147"/>
      <c r="BL65" s="147"/>
      <c r="BM65" s="147"/>
      <c r="BR65" s="87" t="s">
        <v>1771</v>
      </c>
      <c r="BS65" s="88"/>
      <c r="BT65" s="89"/>
      <c r="BU65" s="90"/>
      <c r="BV65" s="484">
        <f>DD51+BX55</f>
        <v>106110.00000000003</v>
      </c>
      <c r="BW65" s="485"/>
      <c r="BX65" s="485"/>
      <c r="BY65" s="485"/>
      <c r="BZ65" s="485"/>
      <c r="CA65" s="486"/>
      <c r="DI65" s="13"/>
    </row>
    <row r="66" spans="3:152" ht="15" x14ac:dyDescent="0.25">
      <c r="C66" s="169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AC66" s="263"/>
      <c r="AD66" s="264"/>
      <c r="AE66" s="264"/>
      <c r="AF66" s="264"/>
      <c r="AG66" s="264"/>
      <c r="AH66" s="265"/>
      <c r="AI66" s="295">
        <v>0</v>
      </c>
      <c r="AJ66" s="295"/>
      <c r="AK66" s="295"/>
      <c r="AL66" s="295"/>
      <c r="AM66" s="295">
        <v>0</v>
      </c>
      <c r="AN66" s="295"/>
      <c r="AO66" s="295"/>
      <c r="AP66" s="295"/>
      <c r="AQ66" s="295"/>
      <c r="AR66" s="296">
        <f t="shared" si="7"/>
        <v>0</v>
      </c>
      <c r="AS66" s="296"/>
      <c r="AT66" s="296"/>
      <c r="AU66" s="296"/>
      <c r="AV66" s="296"/>
      <c r="AW66" s="258">
        <f>AR65+AR66+AR67+AR68+AR69+AR70</f>
        <v>21720</v>
      </c>
      <c r="AX66" s="259"/>
      <c r="AY66" s="259"/>
      <c r="AZ66" s="259"/>
      <c r="BA66" s="297"/>
      <c r="BB66" s="13"/>
      <c r="BE66" s="148"/>
      <c r="BF66" s="148"/>
      <c r="BG66" s="148"/>
      <c r="BH66" s="147"/>
      <c r="BI66" s="147"/>
      <c r="BJ66" s="147"/>
      <c r="BK66" s="147"/>
      <c r="BL66" s="147"/>
      <c r="BM66" s="147"/>
      <c r="BR66" s="87" t="s">
        <v>1772</v>
      </c>
      <c r="BS66" s="88"/>
      <c r="BT66" s="89"/>
      <c r="BU66" s="90"/>
      <c r="BV66" s="484">
        <f>DD54+BX59</f>
        <v>104930</v>
      </c>
      <c r="BW66" s="485"/>
      <c r="BX66" s="485"/>
      <c r="BY66" s="485"/>
      <c r="BZ66" s="485"/>
      <c r="CA66" s="486"/>
      <c r="DI66" s="13"/>
    </row>
    <row r="67" spans="3:152" ht="15.75" thickBot="1" x14ac:dyDescent="0.3">
      <c r="C67" s="169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AC67" s="142"/>
      <c r="AD67" s="144"/>
      <c r="AE67" s="144"/>
      <c r="AF67" s="144"/>
      <c r="AG67" s="144"/>
      <c r="AH67" s="143"/>
      <c r="AI67" s="295">
        <v>172.67</v>
      </c>
      <c r="AJ67" s="295"/>
      <c r="AK67" s="295"/>
      <c r="AL67" s="295"/>
      <c r="AM67" s="295">
        <v>172.77</v>
      </c>
      <c r="AN67" s="295"/>
      <c r="AO67" s="295"/>
      <c r="AP67" s="295"/>
      <c r="AQ67" s="295"/>
      <c r="AR67" s="296">
        <f t="shared" ref="AR67:AR70" si="8">(AM67-AI67)*1000</f>
        <v>100.00000000002274</v>
      </c>
      <c r="AS67" s="296"/>
      <c r="AT67" s="296"/>
      <c r="AU67" s="296"/>
      <c r="AV67" s="296"/>
      <c r="AW67" s="124"/>
      <c r="AX67" s="125"/>
      <c r="AY67" s="125"/>
      <c r="AZ67" s="125"/>
      <c r="BA67" s="141"/>
      <c r="BB67" s="13"/>
      <c r="BR67" s="91" t="s">
        <v>1773</v>
      </c>
      <c r="BS67" s="92"/>
      <c r="BT67" s="93"/>
      <c r="BU67" s="94"/>
      <c r="BV67" s="488">
        <f>DD58+BX60</f>
        <v>102560</v>
      </c>
      <c r="BW67" s="489"/>
      <c r="BX67" s="489"/>
      <c r="BY67" s="489"/>
      <c r="BZ67" s="489"/>
      <c r="CA67" s="490"/>
      <c r="DI67" s="13"/>
    </row>
    <row r="68" spans="3:152" x14ac:dyDescent="0.2">
      <c r="C68" s="169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AC68" s="142"/>
      <c r="AD68" s="144"/>
      <c r="AE68" s="144"/>
      <c r="AF68" s="144"/>
      <c r="AG68" s="144"/>
      <c r="AH68" s="143"/>
      <c r="AI68" s="295">
        <v>169.8</v>
      </c>
      <c r="AJ68" s="295"/>
      <c r="AK68" s="295"/>
      <c r="AL68" s="295"/>
      <c r="AM68" s="295">
        <v>172.56</v>
      </c>
      <c r="AN68" s="295"/>
      <c r="AO68" s="295"/>
      <c r="AP68" s="295"/>
      <c r="AQ68" s="295"/>
      <c r="AR68" s="296">
        <f t="shared" si="8"/>
        <v>2759.9999999999909</v>
      </c>
      <c r="AS68" s="296"/>
      <c r="AT68" s="296"/>
      <c r="AU68" s="296"/>
      <c r="AV68" s="296"/>
      <c r="AW68" s="124"/>
      <c r="AX68" s="125"/>
      <c r="AY68" s="125"/>
      <c r="AZ68" s="125"/>
      <c r="BA68" s="141"/>
      <c r="BB68" s="13"/>
      <c r="BC68" s="37"/>
      <c r="BD68" s="172"/>
      <c r="BE68" s="172"/>
      <c r="BF68" s="172"/>
      <c r="BG68" s="172"/>
      <c r="BH68" s="172"/>
      <c r="BI68" s="172"/>
      <c r="BJ68" s="173"/>
      <c r="BK68" s="173"/>
      <c r="BL68" s="173"/>
      <c r="BM68" s="173"/>
      <c r="BN68" s="173"/>
      <c r="BO68" s="173"/>
      <c r="BP68" s="173"/>
      <c r="BQ68" s="173"/>
      <c r="BR68" s="173"/>
      <c r="BS68" s="174"/>
      <c r="BT68" s="174"/>
      <c r="BU68" s="174"/>
      <c r="BV68" s="174"/>
      <c r="BW68" s="174"/>
      <c r="BX68" s="174"/>
      <c r="BY68" s="174"/>
      <c r="BZ68" s="174"/>
      <c r="CA68" s="174"/>
      <c r="CB68" s="163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  <c r="DF68" s="37"/>
      <c r="DG68" s="37"/>
      <c r="DH68" s="37"/>
      <c r="DI68" s="175"/>
    </row>
    <row r="69" spans="3:152" x14ac:dyDescent="0.2">
      <c r="C69" s="169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AC69" s="142"/>
      <c r="AD69" s="144"/>
      <c r="AE69" s="144"/>
      <c r="AF69" s="144"/>
      <c r="AG69" s="144"/>
      <c r="AH69" s="143"/>
      <c r="AI69" s="295">
        <v>167.8</v>
      </c>
      <c r="AJ69" s="295"/>
      <c r="AK69" s="295"/>
      <c r="AL69" s="295"/>
      <c r="AM69" s="295">
        <v>169.7</v>
      </c>
      <c r="AN69" s="295"/>
      <c r="AO69" s="295"/>
      <c r="AP69" s="295"/>
      <c r="AQ69" s="295"/>
      <c r="AR69" s="296">
        <f t="shared" si="8"/>
        <v>1899.9999999999773</v>
      </c>
      <c r="AS69" s="296"/>
      <c r="AT69" s="296"/>
      <c r="AU69" s="296"/>
      <c r="AV69" s="296"/>
      <c r="AW69" s="124"/>
      <c r="AX69" s="125"/>
      <c r="AY69" s="125"/>
      <c r="AZ69" s="125"/>
      <c r="BA69" s="141"/>
      <c r="BB69" s="13"/>
      <c r="BD69" s="155"/>
      <c r="BE69" s="155"/>
      <c r="BF69" s="155"/>
      <c r="BG69" s="155"/>
      <c r="BH69" s="155"/>
      <c r="BI69" s="155"/>
      <c r="BJ69" s="147"/>
      <c r="BK69" s="147"/>
      <c r="BL69" s="491" t="s">
        <v>1795</v>
      </c>
      <c r="BM69" s="491"/>
      <c r="BN69" s="491"/>
      <c r="BO69" s="491"/>
      <c r="BP69" s="491"/>
      <c r="BQ69" s="491"/>
      <c r="BR69" s="491" t="s">
        <v>1796</v>
      </c>
      <c r="BS69" s="491"/>
      <c r="BT69" s="491"/>
      <c r="BU69" s="491"/>
      <c r="BV69" s="491"/>
      <c r="BW69" s="491"/>
      <c r="BX69" s="491" t="s">
        <v>1686</v>
      </c>
      <c r="BY69" s="491"/>
      <c r="BZ69" s="491"/>
      <c r="CA69" s="491"/>
      <c r="CB69" s="491"/>
      <c r="CC69" s="491"/>
    </row>
    <row r="70" spans="3:152" x14ac:dyDescent="0.2">
      <c r="C70" s="169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AC70" s="142"/>
      <c r="AD70" s="144"/>
      <c r="AE70" s="144"/>
      <c r="AF70" s="144"/>
      <c r="AG70" s="144"/>
      <c r="AH70" s="143"/>
      <c r="AI70" s="295">
        <v>0</v>
      </c>
      <c r="AJ70" s="295"/>
      <c r="AK70" s="295"/>
      <c r="AL70" s="295"/>
      <c r="AM70" s="295">
        <v>0</v>
      </c>
      <c r="AN70" s="295"/>
      <c r="AO70" s="295"/>
      <c r="AP70" s="295"/>
      <c r="AQ70" s="295"/>
      <c r="AR70" s="296">
        <f t="shared" si="8"/>
        <v>0</v>
      </c>
      <c r="AS70" s="296"/>
      <c r="AT70" s="296"/>
      <c r="AU70" s="296"/>
      <c r="AV70" s="296"/>
      <c r="AW70" s="124"/>
      <c r="AX70" s="125"/>
      <c r="AY70" s="125"/>
      <c r="AZ70" s="125"/>
      <c r="BA70" s="141"/>
      <c r="BB70" s="13"/>
      <c r="BD70" s="137" t="s">
        <v>1790</v>
      </c>
      <c r="BE70" s="138"/>
      <c r="BF70" s="138"/>
      <c r="BG70" s="138"/>
      <c r="BH70" s="138"/>
      <c r="BI70" s="138"/>
      <c r="BJ70" s="138"/>
      <c r="BK70" s="138"/>
      <c r="BL70" s="487">
        <f>(AI81-165)*1000</f>
        <v>0</v>
      </c>
      <c r="BM70" s="487"/>
      <c r="BN70" s="487"/>
      <c r="BO70" s="487"/>
      <c r="BP70" s="487"/>
      <c r="BQ70" s="487"/>
      <c r="BR70" s="487">
        <f>((165-BJ47)*1000-BX61)</f>
        <v>0</v>
      </c>
      <c r="BS70" s="487"/>
      <c r="BT70" s="487"/>
      <c r="BU70" s="487"/>
      <c r="BV70" s="487"/>
      <c r="BW70" s="487"/>
      <c r="BX70" s="487">
        <f>((AM65-BJ47)*1000-BX61-AW81)</f>
        <v>-3.637978807091713E-12</v>
      </c>
      <c r="BY70" s="487"/>
      <c r="BZ70" s="487"/>
      <c r="CA70" s="487"/>
      <c r="CB70" s="487"/>
      <c r="CC70" s="487"/>
      <c r="CE70" s="6"/>
    </row>
    <row r="71" spans="3:152" ht="15" thickBot="1" x14ac:dyDescent="0.25">
      <c r="C71" s="169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AC71" s="142"/>
      <c r="AD71" s="144"/>
      <c r="AE71" s="144"/>
      <c r="AF71" s="144"/>
      <c r="AG71" s="144"/>
      <c r="AH71" s="143"/>
      <c r="AI71" s="472"/>
      <c r="AJ71" s="472"/>
      <c r="AK71" s="472"/>
      <c r="AL71" s="472"/>
      <c r="AM71" s="405"/>
      <c r="AN71" s="406"/>
      <c r="AO71" s="406"/>
      <c r="AP71" s="406"/>
      <c r="AQ71" s="407"/>
      <c r="AR71" s="124"/>
      <c r="AS71" s="125"/>
      <c r="AT71" s="125"/>
      <c r="AU71" s="125"/>
      <c r="AV71" s="145"/>
      <c r="AW71" s="124"/>
      <c r="AX71" s="125"/>
      <c r="AY71" s="125"/>
      <c r="AZ71" s="125"/>
      <c r="BA71" s="141"/>
      <c r="BB71" s="13"/>
      <c r="BD71" s="129" t="s">
        <v>1791</v>
      </c>
      <c r="BE71" s="129"/>
      <c r="BF71" s="129"/>
      <c r="BG71" s="129"/>
      <c r="BH71" s="129"/>
      <c r="BI71" s="129"/>
      <c r="BJ71" s="139"/>
      <c r="BK71" s="130"/>
      <c r="BL71" s="492">
        <f>((AM65-165)*1000-AW66)</f>
        <v>3120.0000000000036</v>
      </c>
      <c r="BM71" s="493"/>
      <c r="BN71" s="493"/>
      <c r="BO71" s="493"/>
      <c r="BP71" s="493"/>
      <c r="BQ71" s="494"/>
      <c r="BR71" s="492">
        <f>((165-BJ47)*1000-BX49)</f>
        <v>2900</v>
      </c>
      <c r="BS71" s="493"/>
      <c r="BT71" s="493"/>
      <c r="BU71" s="493"/>
      <c r="BV71" s="493"/>
      <c r="BW71" s="494"/>
      <c r="BX71" s="487">
        <f>((AM65-BJ47)*1000-AW66-BX49)</f>
        <v>6020</v>
      </c>
      <c r="BY71" s="487"/>
      <c r="BZ71" s="487"/>
      <c r="CA71" s="487"/>
      <c r="CB71" s="487"/>
      <c r="CC71" s="487"/>
      <c r="CE71" s="6"/>
    </row>
    <row r="72" spans="3:152" x14ac:dyDescent="0.2">
      <c r="C72" s="169"/>
      <c r="D72" s="62"/>
      <c r="E72" s="62"/>
      <c r="F72" s="62"/>
      <c r="G72" s="67"/>
      <c r="H72" s="67"/>
      <c r="I72" s="67"/>
      <c r="J72" s="67"/>
      <c r="K72" s="67"/>
      <c r="L72" s="67"/>
      <c r="M72" s="67"/>
      <c r="N72" s="67"/>
      <c r="O72" s="67"/>
      <c r="P72" s="62"/>
      <c r="Q72" s="62"/>
      <c r="R72" s="62"/>
      <c r="S72" s="62"/>
      <c r="T72" s="62"/>
      <c r="U72" s="62"/>
      <c r="V72" s="62"/>
      <c r="W72" s="62"/>
      <c r="X72" s="62"/>
      <c r="Y72" s="62"/>
      <c r="AC72" s="260" t="s">
        <v>1692</v>
      </c>
      <c r="AD72" s="261"/>
      <c r="AE72" s="261"/>
      <c r="AF72" s="261"/>
      <c r="AG72" s="261"/>
      <c r="AH72" s="262"/>
      <c r="AI72" s="269">
        <v>172.95</v>
      </c>
      <c r="AJ72" s="270"/>
      <c r="AK72" s="270"/>
      <c r="AL72" s="271"/>
      <c r="AM72" s="269">
        <v>189.84</v>
      </c>
      <c r="AN72" s="270"/>
      <c r="AO72" s="270"/>
      <c r="AP72" s="270"/>
      <c r="AQ72" s="271"/>
      <c r="AR72" s="272">
        <f t="shared" ref="AR72:AR75" si="9">(AM72-AI72)*1000</f>
        <v>16890.000000000015</v>
      </c>
      <c r="AS72" s="273"/>
      <c r="AT72" s="273"/>
      <c r="AU72" s="273"/>
      <c r="AV72" s="274"/>
      <c r="AW72" s="95"/>
      <c r="AX72" s="96"/>
      <c r="AY72" s="96"/>
      <c r="AZ72" s="96"/>
      <c r="BA72" s="97"/>
      <c r="BB72" s="13"/>
      <c r="BD72" s="135" t="s">
        <v>1794</v>
      </c>
      <c r="BE72" s="136"/>
      <c r="BF72" s="136"/>
      <c r="BG72" s="136"/>
      <c r="BH72" s="136"/>
      <c r="BI72" s="136"/>
      <c r="BJ72" s="136"/>
      <c r="BK72" s="136"/>
      <c r="BL72" s="492">
        <f>((AM65-165)*1000-AW75)</f>
        <v>5989.9999999999818</v>
      </c>
      <c r="BM72" s="493"/>
      <c r="BN72" s="493"/>
      <c r="BO72" s="493"/>
      <c r="BP72" s="493"/>
      <c r="BQ72" s="494"/>
      <c r="BR72" s="487">
        <f>((165-BJ47)*1000-BX55)</f>
        <v>4749.9999999999709</v>
      </c>
      <c r="BS72" s="487"/>
      <c r="BT72" s="487"/>
      <c r="BU72" s="487"/>
      <c r="BV72" s="487"/>
      <c r="BW72" s="487"/>
      <c r="BX72" s="487">
        <f>((AM65-BJ47)*1000-BX55-AW75)</f>
        <v>10739.999999999949</v>
      </c>
      <c r="BY72" s="487"/>
      <c r="BZ72" s="487"/>
      <c r="CA72" s="487"/>
      <c r="CB72" s="487"/>
      <c r="CC72" s="487"/>
      <c r="CE72" s="6"/>
      <c r="CM72" s="6"/>
      <c r="DM72" s="149"/>
      <c r="DN72" s="149"/>
      <c r="DO72" s="149"/>
      <c r="DP72" s="149"/>
      <c r="EC72" s="6"/>
      <c r="ED72" s="6"/>
      <c r="EE72" s="6"/>
      <c r="EF72" s="6"/>
      <c r="EG72" s="6"/>
      <c r="EH72" s="6"/>
      <c r="EI72" s="6"/>
      <c r="EK72" s="6"/>
      <c r="EV72" s="6"/>
    </row>
    <row r="73" spans="3:152" x14ac:dyDescent="0.2">
      <c r="C73" s="169"/>
      <c r="AC73" s="263"/>
      <c r="AD73" s="264"/>
      <c r="AE73" s="264"/>
      <c r="AF73" s="264"/>
      <c r="AG73" s="264"/>
      <c r="AH73" s="265"/>
      <c r="AI73" s="252">
        <v>171.65</v>
      </c>
      <c r="AJ73" s="253"/>
      <c r="AK73" s="253"/>
      <c r="AL73" s="254"/>
      <c r="AM73" s="252">
        <v>172.56</v>
      </c>
      <c r="AN73" s="253"/>
      <c r="AO73" s="253"/>
      <c r="AP73" s="253"/>
      <c r="AQ73" s="254"/>
      <c r="AR73" s="255">
        <f t="shared" si="9"/>
        <v>909.99999999999659</v>
      </c>
      <c r="AS73" s="256"/>
      <c r="AT73" s="256"/>
      <c r="AU73" s="256"/>
      <c r="AV73" s="257"/>
      <c r="AW73" s="258"/>
      <c r="AX73" s="259"/>
      <c r="AY73" s="259"/>
      <c r="AZ73" s="259"/>
      <c r="BA73" s="100"/>
      <c r="BB73" s="13"/>
      <c r="BD73" s="131" t="s">
        <v>1792</v>
      </c>
      <c r="BE73" s="132"/>
      <c r="BF73" s="132"/>
      <c r="BG73" s="132"/>
      <c r="BH73" s="132"/>
      <c r="BI73" s="132"/>
      <c r="BJ73" s="132"/>
      <c r="BK73" s="132"/>
      <c r="BL73" s="487">
        <f>((AM65-165)*1000-AW79)</f>
        <v>5989.9999999999818</v>
      </c>
      <c r="BM73" s="487"/>
      <c r="BN73" s="487"/>
      <c r="BO73" s="487"/>
      <c r="BP73" s="487"/>
      <c r="BQ73" s="487"/>
      <c r="BR73" s="487">
        <f>((165-BJ47)*1000-BX59)</f>
        <v>5930</v>
      </c>
      <c r="BS73" s="487"/>
      <c r="BT73" s="487"/>
      <c r="BU73" s="487"/>
      <c r="BV73" s="487"/>
      <c r="BW73" s="487"/>
      <c r="BX73" s="487">
        <f>((AM65-BJ47)*1000-BX59-AW79)</f>
        <v>11919.999999999978</v>
      </c>
      <c r="BY73" s="487"/>
      <c r="BZ73" s="487"/>
      <c r="CA73" s="487"/>
      <c r="CB73" s="487"/>
      <c r="CC73" s="487"/>
      <c r="CE73" s="6"/>
      <c r="CM73" s="6"/>
      <c r="DM73" s="150"/>
      <c r="EC73" s="6"/>
      <c r="ED73" s="6"/>
      <c r="EE73" s="6"/>
      <c r="EF73" s="6"/>
      <c r="EG73" s="6"/>
      <c r="EH73" s="6"/>
      <c r="EI73" s="6"/>
      <c r="EK73" s="6"/>
      <c r="EV73" s="6"/>
    </row>
    <row r="74" spans="3:152" x14ac:dyDescent="0.2">
      <c r="C74" s="169"/>
      <c r="AC74" s="263"/>
      <c r="AD74" s="264"/>
      <c r="AE74" s="264"/>
      <c r="AF74" s="264"/>
      <c r="AG74" s="264"/>
      <c r="AH74" s="265"/>
      <c r="AI74" s="252">
        <v>171.15</v>
      </c>
      <c r="AJ74" s="253"/>
      <c r="AK74" s="253"/>
      <c r="AL74" s="254"/>
      <c r="AM74" s="252">
        <v>171.46</v>
      </c>
      <c r="AN74" s="253"/>
      <c r="AO74" s="253"/>
      <c r="AP74" s="253"/>
      <c r="AQ74" s="254"/>
      <c r="AR74" s="255">
        <f t="shared" si="9"/>
        <v>310.00000000000227</v>
      </c>
      <c r="AS74" s="256"/>
      <c r="AT74" s="256"/>
      <c r="AU74" s="256"/>
      <c r="AV74" s="257"/>
      <c r="AW74" s="124"/>
      <c r="AX74" s="125"/>
      <c r="AY74" s="125"/>
      <c r="AZ74" s="125"/>
      <c r="BA74" s="100"/>
      <c r="BB74" s="13"/>
      <c r="BD74" s="133" t="s">
        <v>1793</v>
      </c>
      <c r="BE74" s="134"/>
      <c r="BF74" s="134"/>
      <c r="BG74" s="134"/>
      <c r="BH74" s="134"/>
      <c r="BI74" s="134"/>
      <c r="BJ74" s="134"/>
      <c r="BK74" s="134"/>
      <c r="BL74" s="487">
        <f>((AM65-165)*1000-AW80)</f>
        <v>8000</v>
      </c>
      <c r="BM74" s="487"/>
      <c r="BN74" s="487"/>
      <c r="BO74" s="487"/>
      <c r="BP74" s="487"/>
      <c r="BQ74" s="487"/>
      <c r="BR74" s="487">
        <f>((165-BJ47)*1000-BX60)</f>
        <v>8340</v>
      </c>
      <c r="BS74" s="487"/>
      <c r="BT74" s="487"/>
      <c r="BU74" s="487"/>
      <c r="BV74" s="487"/>
      <c r="BW74" s="487"/>
      <c r="BX74" s="487">
        <f>((AM65-BJ47)*1000-BX60-AW80)</f>
        <v>16339.999999999996</v>
      </c>
      <c r="BY74" s="487"/>
      <c r="BZ74" s="487"/>
      <c r="CA74" s="487"/>
      <c r="CB74" s="487"/>
      <c r="CC74" s="487"/>
      <c r="CE74" s="6"/>
      <c r="CM74" s="6"/>
      <c r="EC74" s="6"/>
      <c r="ED74" s="6"/>
      <c r="EE74" s="6"/>
      <c r="EF74" s="6"/>
      <c r="EG74" s="6"/>
      <c r="EH74" s="6"/>
      <c r="EI74" s="6"/>
      <c r="EK74" s="6"/>
      <c r="EV74" s="6"/>
    </row>
    <row r="75" spans="3:152" ht="15.75" thickBot="1" x14ac:dyDescent="0.3">
      <c r="C75" s="169"/>
      <c r="AC75" s="266"/>
      <c r="AD75" s="267"/>
      <c r="AE75" s="267"/>
      <c r="AF75" s="267"/>
      <c r="AG75" s="267"/>
      <c r="AH75" s="268"/>
      <c r="AI75" s="288">
        <v>170.16</v>
      </c>
      <c r="AJ75" s="289"/>
      <c r="AK75" s="289"/>
      <c r="AL75" s="290"/>
      <c r="AM75" s="288">
        <v>170.9</v>
      </c>
      <c r="AN75" s="289"/>
      <c r="AO75" s="289"/>
      <c r="AP75" s="289"/>
      <c r="AQ75" s="290"/>
      <c r="AR75" s="291">
        <f t="shared" si="9"/>
        <v>740.00000000000909</v>
      </c>
      <c r="AS75" s="292"/>
      <c r="AT75" s="292"/>
      <c r="AU75" s="292"/>
      <c r="AV75" s="293"/>
      <c r="AW75" s="248">
        <f>AR72+AR73+AR74+AR75</f>
        <v>18850.000000000022</v>
      </c>
      <c r="AX75" s="249"/>
      <c r="AY75" s="249"/>
      <c r="AZ75" s="249"/>
      <c r="BA75" s="250"/>
      <c r="BB75" s="13"/>
      <c r="BD75" s="156"/>
      <c r="BE75" s="146"/>
      <c r="BF75" s="146"/>
      <c r="BG75" s="146"/>
      <c r="BH75" s="147"/>
      <c r="BI75" s="147"/>
      <c r="BJ75" s="147"/>
      <c r="BK75" s="147"/>
      <c r="BL75" s="147"/>
      <c r="BM75" s="147"/>
      <c r="BN75" s="156"/>
      <c r="BO75" s="156"/>
      <c r="BP75" s="156"/>
      <c r="BQ75" s="156"/>
      <c r="BR75" s="156"/>
      <c r="BS75" s="157"/>
      <c r="BT75" s="148"/>
      <c r="BU75" s="148"/>
      <c r="BV75" s="148"/>
      <c r="BW75" s="148"/>
      <c r="BX75" s="148"/>
      <c r="BY75" s="148"/>
      <c r="BZ75" s="148"/>
      <c r="CA75" s="156"/>
      <c r="CB75" s="156"/>
      <c r="CM75" s="6"/>
      <c r="EC75" s="6"/>
      <c r="ED75" s="6"/>
      <c r="EE75" s="6"/>
      <c r="EF75" s="6"/>
      <c r="EG75" s="6"/>
      <c r="EH75" s="6"/>
      <c r="EI75" s="6"/>
      <c r="EK75" s="6"/>
      <c r="EV75" s="6"/>
    </row>
    <row r="76" spans="3:152" ht="15" x14ac:dyDescent="0.25">
      <c r="C76" s="169"/>
      <c r="AC76" s="279" t="s">
        <v>1693</v>
      </c>
      <c r="AD76" s="280"/>
      <c r="AE76" s="280"/>
      <c r="AF76" s="280"/>
      <c r="AG76" s="280"/>
      <c r="AH76" s="281"/>
      <c r="AI76" s="269">
        <v>172.95</v>
      </c>
      <c r="AJ76" s="270"/>
      <c r="AK76" s="270"/>
      <c r="AL76" s="271"/>
      <c r="AM76" s="269">
        <v>189.84</v>
      </c>
      <c r="AN76" s="270"/>
      <c r="AO76" s="270"/>
      <c r="AP76" s="270"/>
      <c r="AQ76" s="271"/>
      <c r="AR76" s="272">
        <f t="shared" ref="AR76:AR78" si="10">(AM76-AI76)*1000</f>
        <v>16890.000000000015</v>
      </c>
      <c r="AS76" s="273"/>
      <c r="AT76" s="273"/>
      <c r="AU76" s="273"/>
      <c r="AV76" s="274"/>
      <c r="AW76" s="98"/>
      <c r="AX76" s="99"/>
      <c r="AY76" s="99"/>
      <c r="AZ76" s="99"/>
      <c r="BA76" s="100"/>
      <c r="BB76" s="13"/>
      <c r="BD76" s="156"/>
      <c r="BE76" s="146"/>
      <c r="BF76" s="146"/>
      <c r="BG76" s="146"/>
      <c r="BH76" s="147"/>
      <c r="BI76" s="147"/>
      <c r="BJ76" s="147"/>
      <c r="BK76" s="147"/>
      <c r="BL76" s="147"/>
      <c r="BM76" s="147"/>
      <c r="BN76" s="156"/>
      <c r="BO76" s="156"/>
      <c r="BP76" s="156"/>
      <c r="BQ76" s="156"/>
      <c r="BR76" s="158"/>
      <c r="BS76" s="158"/>
      <c r="BV76" s="159"/>
      <c r="BW76" s="159"/>
      <c r="BX76" s="159"/>
      <c r="BY76" s="159"/>
      <c r="BZ76" s="159"/>
      <c r="CA76" s="159"/>
      <c r="CB76" s="156"/>
    </row>
    <row r="77" spans="3:152" ht="15" x14ac:dyDescent="0.25">
      <c r="C77" s="169"/>
      <c r="AC77" s="282"/>
      <c r="AD77" s="283"/>
      <c r="AE77" s="283"/>
      <c r="AF77" s="283"/>
      <c r="AG77" s="283"/>
      <c r="AH77" s="284"/>
      <c r="AI77" s="252">
        <v>171.65</v>
      </c>
      <c r="AJ77" s="253"/>
      <c r="AK77" s="253"/>
      <c r="AL77" s="254"/>
      <c r="AM77" s="252">
        <v>172.56</v>
      </c>
      <c r="AN77" s="253"/>
      <c r="AO77" s="253"/>
      <c r="AP77" s="253"/>
      <c r="AQ77" s="254"/>
      <c r="AR77" s="255">
        <f t="shared" si="10"/>
        <v>909.99999999999659</v>
      </c>
      <c r="AS77" s="256"/>
      <c r="AT77" s="256"/>
      <c r="AU77" s="256"/>
      <c r="AV77" s="257"/>
      <c r="AW77" s="258"/>
      <c r="AX77" s="259"/>
      <c r="AY77" s="259"/>
      <c r="AZ77" s="259"/>
      <c r="BA77" s="100"/>
      <c r="BB77" s="13"/>
      <c r="BE77" s="155"/>
      <c r="BF77" s="155"/>
      <c r="BG77" s="155"/>
      <c r="BH77" s="147"/>
      <c r="BI77" s="147"/>
      <c r="BJ77" s="147"/>
      <c r="BK77" s="147"/>
      <c r="BL77" s="147"/>
      <c r="BM77" s="147"/>
      <c r="BR77" s="158"/>
      <c r="BS77" s="158"/>
      <c r="BV77" s="159"/>
      <c r="BW77" s="159"/>
      <c r="BX77" s="159"/>
      <c r="BY77" s="159"/>
      <c r="BZ77" s="159"/>
      <c r="CA77" s="159"/>
      <c r="CB77" s="6"/>
    </row>
    <row r="78" spans="3:152" ht="15" x14ac:dyDescent="0.25">
      <c r="C78" s="169"/>
      <c r="AC78" s="282"/>
      <c r="AD78" s="283"/>
      <c r="AE78" s="283"/>
      <c r="AF78" s="283"/>
      <c r="AG78" s="283"/>
      <c r="AH78" s="284"/>
      <c r="AI78" s="252">
        <v>171.15</v>
      </c>
      <c r="AJ78" s="253"/>
      <c r="AK78" s="253"/>
      <c r="AL78" s="254"/>
      <c r="AM78" s="252">
        <v>171.46</v>
      </c>
      <c r="AN78" s="253"/>
      <c r="AO78" s="253"/>
      <c r="AP78" s="253"/>
      <c r="AQ78" s="254"/>
      <c r="AR78" s="255">
        <f t="shared" si="10"/>
        <v>310.00000000000227</v>
      </c>
      <c r="AS78" s="256"/>
      <c r="AT78" s="256"/>
      <c r="AU78" s="256"/>
      <c r="AV78" s="257"/>
      <c r="AW78" s="124"/>
      <c r="AX78" s="125"/>
      <c r="AY78" s="125"/>
      <c r="AZ78" s="125"/>
      <c r="BA78" s="100"/>
      <c r="BB78" s="13"/>
      <c r="BE78" s="155"/>
      <c r="BF78" s="155"/>
      <c r="BG78" s="155"/>
      <c r="BH78" s="147"/>
      <c r="BI78" s="147"/>
      <c r="BJ78" s="147"/>
      <c r="BK78" s="147"/>
      <c r="BL78" s="147"/>
      <c r="BM78" s="147"/>
      <c r="BR78" s="158"/>
      <c r="BS78" s="158"/>
      <c r="BV78" s="159"/>
      <c r="BW78" s="159"/>
      <c r="BX78" s="159"/>
      <c r="BY78" s="159"/>
      <c r="BZ78" s="159"/>
      <c r="CA78" s="159"/>
    </row>
    <row r="79" spans="3:152" ht="15.75" thickBot="1" x14ac:dyDescent="0.3">
      <c r="C79" s="169"/>
      <c r="AC79" s="285"/>
      <c r="AD79" s="286"/>
      <c r="AE79" s="286"/>
      <c r="AF79" s="286"/>
      <c r="AG79" s="286"/>
      <c r="AH79" s="287"/>
      <c r="AI79" s="288">
        <v>170.16</v>
      </c>
      <c r="AJ79" s="289"/>
      <c r="AK79" s="289"/>
      <c r="AL79" s="290"/>
      <c r="AM79" s="288">
        <v>170.9</v>
      </c>
      <c r="AN79" s="289"/>
      <c r="AO79" s="289"/>
      <c r="AP79" s="289"/>
      <c r="AQ79" s="290"/>
      <c r="AR79" s="291">
        <f t="shared" si="7"/>
        <v>740.00000000000909</v>
      </c>
      <c r="AS79" s="292"/>
      <c r="AT79" s="292"/>
      <c r="AU79" s="292"/>
      <c r="AV79" s="293"/>
      <c r="AW79" s="248">
        <f>AR76+AR77+AR78+AR79</f>
        <v>18850.000000000022</v>
      </c>
      <c r="AX79" s="249"/>
      <c r="AY79" s="249"/>
      <c r="AZ79" s="249"/>
      <c r="BA79" s="250"/>
      <c r="BB79" s="13"/>
      <c r="BR79" s="158"/>
      <c r="BS79" s="158"/>
      <c r="BV79" s="159"/>
      <c r="BW79" s="159"/>
      <c r="BX79" s="159"/>
      <c r="BY79" s="159"/>
      <c r="BZ79" s="159"/>
      <c r="CA79" s="159"/>
    </row>
    <row r="80" spans="3:152" ht="17.25" thickBot="1" x14ac:dyDescent="0.3">
      <c r="C80" s="169"/>
      <c r="AC80" s="266" t="s">
        <v>14</v>
      </c>
      <c r="AD80" s="267"/>
      <c r="AE80" s="267"/>
      <c r="AF80" s="267"/>
      <c r="AG80" s="267"/>
      <c r="AH80" s="268"/>
      <c r="AI80" s="277">
        <v>173.01</v>
      </c>
      <c r="AJ80" s="277"/>
      <c r="AK80" s="277"/>
      <c r="AL80" s="277"/>
      <c r="AM80" s="277">
        <v>189.85</v>
      </c>
      <c r="AN80" s="277"/>
      <c r="AO80" s="277"/>
      <c r="AP80" s="277"/>
      <c r="AQ80" s="277"/>
      <c r="AR80" s="278">
        <f t="shared" si="7"/>
        <v>16840.000000000004</v>
      </c>
      <c r="AS80" s="278"/>
      <c r="AT80" s="278"/>
      <c r="AU80" s="278"/>
      <c r="AV80" s="278"/>
      <c r="AW80" s="248">
        <f>AR80</f>
        <v>16840.000000000004</v>
      </c>
      <c r="AX80" s="249"/>
      <c r="AY80" s="249"/>
      <c r="AZ80" s="249"/>
      <c r="BA80" s="250"/>
      <c r="BB80" s="13"/>
      <c r="BL80" s="7"/>
      <c r="BM80" s="7"/>
      <c r="BN80" s="7"/>
      <c r="BO80" s="7"/>
    </row>
    <row r="81" spans="3:67" ht="17.25" thickBot="1" x14ac:dyDescent="0.3">
      <c r="C81" s="169"/>
      <c r="AC81" s="298" t="s">
        <v>1732</v>
      </c>
      <c r="AD81" s="251"/>
      <c r="AE81" s="251"/>
      <c r="AF81" s="251"/>
      <c r="AG81" s="251"/>
      <c r="AH81" s="251"/>
      <c r="AI81" s="299">
        <v>165</v>
      </c>
      <c r="AJ81" s="299"/>
      <c r="AK81" s="299"/>
      <c r="AL81" s="299"/>
      <c r="AM81" s="299">
        <v>189.84</v>
      </c>
      <c r="AN81" s="299"/>
      <c r="AO81" s="299"/>
      <c r="AP81" s="299"/>
      <c r="AQ81" s="299"/>
      <c r="AR81" s="251">
        <f t="shared" si="7"/>
        <v>24840.000000000004</v>
      </c>
      <c r="AS81" s="251"/>
      <c r="AT81" s="251"/>
      <c r="AU81" s="251"/>
      <c r="AV81" s="251"/>
      <c r="AW81" s="248">
        <f>AR81</f>
        <v>24840.000000000004</v>
      </c>
      <c r="AX81" s="249"/>
      <c r="AY81" s="249"/>
      <c r="AZ81" s="249"/>
      <c r="BA81" s="250"/>
      <c r="BB81" s="13"/>
      <c r="BL81" s="140"/>
      <c r="BM81" s="7"/>
      <c r="BN81" s="7"/>
      <c r="BO81" s="7"/>
    </row>
    <row r="82" spans="3:67" ht="16.5" x14ac:dyDescent="0.25">
      <c r="C82" s="171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175"/>
      <c r="BL82" s="140"/>
      <c r="BM82" s="7"/>
      <c r="BN82" s="7"/>
      <c r="BO82" s="7"/>
    </row>
    <row r="83" spans="3:67" ht="16.5" x14ac:dyDescent="0.25">
      <c r="BL83" s="140"/>
      <c r="BM83" s="7"/>
      <c r="BN83" s="7"/>
      <c r="BO83" s="7"/>
    </row>
  </sheetData>
  <mergeCells count="375">
    <mergeCell ref="BX74:CC74"/>
    <mergeCell ref="BV67:CA67"/>
    <mergeCell ref="BL69:BQ69"/>
    <mergeCell ref="BR69:BW69"/>
    <mergeCell ref="BX69:CC69"/>
    <mergeCell ref="BL70:BQ70"/>
    <mergeCell ref="BL71:BQ71"/>
    <mergeCell ref="BL72:BQ72"/>
    <mergeCell ref="BL73:BQ73"/>
    <mergeCell ref="BL74:BQ74"/>
    <mergeCell ref="BR70:BW70"/>
    <mergeCell ref="BR71:BW71"/>
    <mergeCell ref="BR72:BW72"/>
    <mergeCell ref="BR73:BW73"/>
    <mergeCell ref="BR74:BW74"/>
    <mergeCell ref="BX61:CB61"/>
    <mergeCell ref="BV63:CA63"/>
    <mergeCell ref="BV64:CA64"/>
    <mergeCell ref="BV65:CA65"/>
    <mergeCell ref="BV66:CA66"/>
    <mergeCell ref="BX70:CC70"/>
    <mergeCell ref="BX71:CC71"/>
    <mergeCell ref="BX72:CC72"/>
    <mergeCell ref="BX73:CC73"/>
    <mergeCell ref="CC63:CG63"/>
    <mergeCell ref="AR52:AV52"/>
    <mergeCell ref="AR67:AV67"/>
    <mergeCell ref="AR68:AV68"/>
    <mergeCell ref="AR69:AV69"/>
    <mergeCell ref="AR70:AV70"/>
    <mergeCell ref="AM74:AQ74"/>
    <mergeCell ref="AI74:AL74"/>
    <mergeCell ref="AR74:AV74"/>
    <mergeCell ref="AI78:AL78"/>
    <mergeCell ref="AM78:AQ78"/>
    <mergeCell ref="AR78:AV78"/>
    <mergeCell ref="AM67:AQ67"/>
    <mergeCell ref="AM68:AQ68"/>
    <mergeCell ref="AM71:AQ71"/>
    <mergeCell ref="AI67:AL67"/>
    <mergeCell ref="AI68:AL68"/>
    <mergeCell ref="AI71:AL71"/>
    <mergeCell ref="AI69:AL69"/>
    <mergeCell ref="AI70:AL70"/>
    <mergeCell ref="AM69:AQ69"/>
    <mergeCell ref="AM70:AQ70"/>
    <mergeCell ref="AW57:BA57"/>
    <mergeCell ref="BJ56:BM56"/>
    <mergeCell ref="BN56:BR56"/>
    <mergeCell ref="BS56:BW56"/>
    <mergeCell ref="AI49:AL49"/>
    <mergeCell ref="AM49:AQ49"/>
    <mergeCell ref="AR49:AV49"/>
    <mergeCell ref="AM54:AQ54"/>
    <mergeCell ref="BS53:BW53"/>
    <mergeCell ref="BJ51:BM51"/>
    <mergeCell ref="BN51:BR51"/>
    <mergeCell ref="BS51:BW51"/>
    <mergeCell ref="AM50:AQ50"/>
    <mergeCell ref="AR50:AV50"/>
    <mergeCell ref="AI51:AL51"/>
    <mergeCell ref="AM51:AQ51"/>
    <mergeCell ref="BD54:BI54"/>
    <mergeCell ref="BJ54:BM54"/>
    <mergeCell ref="BN54:BR54"/>
    <mergeCell ref="BS54:BW54"/>
    <mergeCell ref="AR54:AV54"/>
    <mergeCell ref="AR53:AV53"/>
    <mergeCell ref="AR51:AV51"/>
    <mergeCell ref="AW49:BA49"/>
    <mergeCell ref="BD58:BI58"/>
    <mergeCell ref="BJ58:BM58"/>
    <mergeCell ref="BN58:BR58"/>
    <mergeCell ref="BS58:BW58"/>
    <mergeCell ref="BX58:CB58"/>
    <mergeCell ref="AC60:AH61"/>
    <mergeCell ref="AI61:AL61"/>
    <mergeCell ref="AM61:AQ61"/>
    <mergeCell ref="AR61:AV61"/>
    <mergeCell ref="AW61:BA61"/>
    <mergeCell ref="BD59:BI59"/>
    <mergeCell ref="BJ59:BM59"/>
    <mergeCell ref="BN59:BR59"/>
    <mergeCell ref="BS59:BW59"/>
    <mergeCell ref="BX59:CB59"/>
    <mergeCell ref="BD60:BI60"/>
    <mergeCell ref="BJ60:BM60"/>
    <mergeCell ref="BN60:BR60"/>
    <mergeCell ref="BS60:BW60"/>
    <mergeCell ref="BX60:CB60"/>
    <mergeCell ref="BD61:BI61"/>
    <mergeCell ref="BJ61:BM61"/>
    <mergeCell ref="BN61:BR61"/>
    <mergeCell ref="BS61:BW61"/>
    <mergeCell ref="AI46:AL46"/>
    <mergeCell ref="AI48:AL48"/>
    <mergeCell ref="DD46:DH46"/>
    <mergeCell ref="BS46:BW46"/>
    <mergeCell ref="BX46:CB46"/>
    <mergeCell ref="AW46:BA46"/>
    <mergeCell ref="DD48:DH48"/>
    <mergeCell ref="BD47:BI47"/>
    <mergeCell ref="BJ47:BM47"/>
    <mergeCell ref="AM48:AQ48"/>
    <mergeCell ref="AR48:AV48"/>
    <mergeCell ref="AM46:AQ46"/>
    <mergeCell ref="AR46:AV46"/>
    <mergeCell ref="BJ48:BM48"/>
    <mergeCell ref="BN48:BR48"/>
    <mergeCell ref="BS48:BW48"/>
    <mergeCell ref="AI47:AL47"/>
    <mergeCell ref="AM47:AQ47"/>
    <mergeCell ref="AR47:AV47"/>
    <mergeCell ref="CY47:DC47"/>
    <mergeCell ref="CD48:CG48"/>
    <mergeCell ref="DD57:DH57"/>
    <mergeCell ref="CT57:CX57"/>
    <mergeCell ref="CY57:DC57"/>
    <mergeCell ref="CJ58:CO58"/>
    <mergeCell ref="CP58:CS58"/>
    <mergeCell ref="CT58:CX58"/>
    <mergeCell ref="CY58:DC58"/>
    <mergeCell ref="CT56:CX56"/>
    <mergeCell ref="CY56:DC56"/>
    <mergeCell ref="DD58:DH58"/>
    <mergeCell ref="CP57:CS57"/>
    <mergeCell ref="CY53:DC53"/>
    <mergeCell ref="CP47:CS47"/>
    <mergeCell ref="CT47:CX47"/>
    <mergeCell ref="CP48:CS48"/>
    <mergeCell ref="CT48:CX48"/>
    <mergeCell ref="CY48:DC48"/>
    <mergeCell ref="CJ47:CO48"/>
    <mergeCell ref="CT52:CX52"/>
    <mergeCell ref="CP51:CS51"/>
    <mergeCell ref="CT51:CX51"/>
    <mergeCell ref="CP53:CS53"/>
    <mergeCell ref="CY52:DC52"/>
    <mergeCell ref="BD55:BI55"/>
    <mergeCell ref="BJ55:BM55"/>
    <mergeCell ref="BN55:BR55"/>
    <mergeCell ref="BS55:BW55"/>
    <mergeCell ref="BX55:CB55"/>
    <mergeCell ref="BX54:CB54"/>
    <mergeCell ref="CP56:CS56"/>
    <mergeCell ref="CP55:CS55"/>
    <mergeCell ref="CP46:CS46"/>
    <mergeCell ref="CJ55:CO57"/>
    <mergeCell ref="CJ46:CO46"/>
    <mergeCell ref="CP54:CS54"/>
    <mergeCell ref="BX56:CB57"/>
    <mergeCell ref="BJ57:BM57"/>
    <mergeCell ref="BN57:BR57"/>
    <mergeCell ref="BS57:BW57"/>
    <mergeCell ref="BJ49:BM49"/>
    <mergeCell ref="BN49:BR49"/>
    <mergeCell ref="BS49:BW49"/>
    <mergeCell ref="CT54:CX54"/>
    <mergeCell ref="BX52:CB53"/>
    <mergeCell ref="BD48:BI51"/>
    <mergeCell ref="CT53:CX53"/>
    <mergeCell ref="BJ53:BM53"/>
    <mergeCell ref="CJ52:CO54"/>
    <mergeCell ref="BN53:BR53"/>
    <mergeCell ref="AW53:BA53"/>
    <mergeCell ref="BJ52:BM52"/>
    <mergeCell ref="BS52:BW52"/>
    <mergeCell ref="BN52:BR52"/>
    <mergeCell ref="CT55:CX55"/>
    <mergeCell ref="AC50:AH53"/>
    <mergeCell ref="AI52:AL52"/>
    <mergeCell ref="AI54:AL54"/>
    <mergeCell ref="AI53:AL53"/>
    <mergeCell ref="AM53:AQ53"/>
    <mergeCell ref="DD54:DH54"/>
    <mergeCell ref="DD51:DH51"/>
    <mergeCell ref="CY55:DC55"/>
    <mergeCell ref="CY54:DC54"/>
    <mergeCell ref="DD50:DG50"/>
    <mergeCell ref="AI50:AL50"/>
    <mergeCell ref="AC54:AH57"/>
    <mergeCell ref="AI57:AL57"/>
    <mergeCell ref="AM57:AQ57"/>
    <mergeCell ref="AR57:AV57"/>
    <mergeCell ref="DD53:DG53"/>
    <mergeCell ref="CP52:CS52"/>
    <mergeCell ref="AI55:AL55"/>
    <mergeCell ref="AM55:AQ55"/>
    <mergeCell ref="AI56:AL56"/>
    <mergeCell ref="AM56:AQ56"/>
    <mergeCell ref="AM52:AQ52"/>
    <mergeCell ref="AW56:BA56"/>
    <mergeCell ref="D47:F48"/>
    <mergeCell ref="U46:Y46"/>
    <mergeCell ref="U47:Y47"/>
    <mergeCell ref="BX49:CB49"/>
    <mergeCell ref="BX47:CB47"/>
    <mergeCell ref="CJ49:CO51"/>
    <mergeCell ref="BJ50:BM50"/>
    <mergeCell ref="BN50:BR50"/>
    <mergeCell ref="CY51:DC51"/>
    <mergeCell ref="CP49:CS49"/>
    <mergeCell ref="CT49:CX49"/>
    <mergeCell ref="CY49:DC49"/>
    <mergeCell ref="CP50:CS50"/>
    <mergeCell ref="BS50:BW50"/>
    <mergeCell ref="CT50:CX50"/>
    <mergeCell ref="CY50:DC50"/>
    <mergeCell ref="CT46:CX46"/>
    <mergeCell ref="CY46:DC46"/>
    <mergeCell ref="BX48:CA48"/>
    <mergeCell ref="BN47:BR47"/>
    <mergeCell ref="BS47:BW47"/>
    <mergeCell ref="BD46:BI46"/>
    <mergeCell ref="BJ46:BM46"/>
    <mergeCell ref="BN46:BR46"/>
    <mergeCell ref="C23:G23"/>
    <mergeCell ref="H23:L23"/>
    <mergeCell ref="C16:G16"/>
    <mergeCell ref="C15:G15"/>
    <mergeCell ref="H13:L13"/>
    <mergeCell ref="C13:G13"/>
    <mergeCell ref="C14:G14"/>
    <mergeCell ref="C18:G18"/>
    <mergeCell ref="C19:G19"/>
    <mergeCell ref="C17:G17"/>
    <mergeCell ref="H17:L17"/>
    <mergeCell ref="C4:G4"/>
    <mergeCell ref="H4:L4"/>
    <mergeCell ref="C5:G5"/>
    <mergeCell ref="C6:G6"/>
    <mergeCell ref="C7:G7"/>
    <mergeCell ref="C8:G8"/>
    <mergeCell ref="H8:L8"/>
    <mergeCell ref="C9:G9"/>
    <mergeCell ref="C10:G10"/>
    <mergeCell ref="C24:G24"/>
    <mergeCell ref="C25:G25"/>
    <mergeCell ref="C26:G26"/>
    <mergeCell ref="C27:G27"/>
    <mergeCell ref="H27:L27"/>
    <mergeCell ref="C28:G28"/>
    <mergeCell ref="C29:G29"/>
    <mergeCell ref="C33:G33"/>
    <mergeCell ref="H33:L33"/>
    <mergeCell ref="C34:G34"/>
    <mergeCell ref="C39:G39"/>
    <mergeCell ref="C35:G35"/>
    <mergeCell ref="C36:G36"/>
    <mergeCell ref="C37:G37"/>
    <mergeCell ref="H37:L37"/>
    <mergeCell ref="C38:G38"/>
    <mergeCell ref="D46:F46"/>
    <mergeCell ref="AC46:AH46"/>
    <mergeCell ref="AC47:AH49"/>
    <mergeCell ref="G46:J46"/>
    <mergeCell ref="G47:J47"/>
    <mergeCell ref="K46:O46"/>
    <mergeCell ref="K47:O47"/>
    <mergeCell ref="P47:T47"/>
    <mergeCell ref="P46:T46"/>
    <mergeCell ref="G48:J48"/>
    <mergeCell ref="K48:O48"/>
    <mergeCell ref="P48:T48"/>
    <mergeCell ref="U48:Y48"/>
    <mergeCell ref="G49:J49"/>
    <mergeCell ref="K49:O49"/>
    <mergeCell ref="P49:T49"/>
    <mergeCell ref="G50:J50"/>
    <mergeCell ref="K50:O50"/>
    <mergeCell ref="P50:T50"/>
    <mergeCell ref="U50:Y50"/>
    <mergeCell ref="G51:J51"/>
    <mergeCell ref="K51:O51"/>
    <mergeCell ref="P51:T51"/>
    <mergeCell ref="D49:F51"/>
    <mergeCell ref="G56:J56"/>
    <mergeCell ref="K56:O56"/>
    <mergeCell ref="G54:J54"/>
    <mergeCell ref="K54:O54"/>
    <mergeCell ref="P54:T54"/>
    <mergeCell ref="U54:Y54"/>
    <mergeCell ref="D52:F54"/>
    <mergeCell ref="G52:J52"/>
    <mergeCell ref="K52:O52"/>
    <mergeCell ref="P52:T52"/>
    <mergeCell ref="G53:J53"/>
    <mergeCell ref="K53:O53"/>
    <mergeCell ref="P53:T53"/>
    <mergeCell ref="U53:Y53"/>
    <mergeCell ref="U51:Y51"/>
    <mergeCell ref="D55:F57"/>
    <mergeCell ref="D58:F59"/>
    <mergeCell ref="G58:J58"/>
    <mergeCell ref="G59:J59"/>
    <mergeCell ref="K59:O59"/>
    <mergeCell ref="AR60:AV60"/>
    <mergeCell ref="K58:O58"/>
    <mergeCell ref="P58:T58"/>
    <mergeCell ref="U58:Y58"/>
    <mergeCell ref="AI58:AL58"/>
    <mergeCell ref="AM58:AQ58"/>
    <mergeCell ref="AR58:AV58"/>
    <mergeCell ref="P59:T59"/>
    <mergeCell ref="U59:Y59"/>
    <mergeCell ref="AI59:AL59"/>
    <mergeCell ref="AM59:AQ59"/>
    <mergeCell ref="AR59:AV59"/>
    <mergeCell ref="AI60:AL60"/>
    <mergeCell ref="AM60:AQ60"/>
    <mergeCell ref="AC58:AH59"/>
    <mergeCell ref="AC81:AH81"/>
    <mergeCell ref="AI81:AL81"/>
    <mergeCell ref="AM81:AQ81"/>
    <mergeCell ref="AM73:AQ73"/>
    <mergeCell ref="AR73:AV73"/>
    <mergeCell ref="AW73:AZ73"/>
    <mergeCell ref="AI75:AL75"/>
    <mergeCell ref="G55:J55"/>
    <mergeCell ref="K55:O55"/>
    <mergeCell ref="P55:T55"/>
    <mergeCell ref="G62:K62"/>
    <mergeCell ref="G61:K61"/>
    <mergeCell ref="G65:K65"/>
    <mergeCell ref="G64:K64"/>
    <mergeCell ref="G63:K63"/>
    <mergeCell ref="P56:T56"/>
    <mergeCell ref="U56:Y56"/>
    <mergeCell ref="G57:J57"/>
    <mergeCell ref="K57:O57"/>
    <mergeCell ref="P57:T57"/>
    <mergeCell ref="U57:Y57"/>
    <mergeCell ref="AR55:AV55"/>
    <mergeCell ref="AR56:AV56"/>
    <mergeCell ref="AW59:BA59"/>
    <mergeCell ref="AW64:BA64"/>
    <mergeCell ref="AC65:AH66"/>
    <mergeCell ref="AI65:AL65"/>
    <mergeCell ref="AM65:AQ65"/>
    <mergeCell ref="AR65:AV65"/>
    <mergeCell ref="AI66:AL66"/>
    <mergeCell ref="AM66:AQ66"/>
    <mergeCell ref="AR66:AV66"/>
    <mergeCell ref="AW66:BA66"/>
    <mergeCell ref="AC72:AH75"/>
    <mergeCell ref="AI72:AL72"/>
    <mergeCell ref="AM72:AQ72"/>
    <mergeCell ref="AR72:AV72"/>
    <mergeCell ref="AI73:AL73"/>
    <mergeCell ref="AC80:AH80"/>
    <mergeCell ref="AC64:AH64"/>
    <mergeCell ref="AI64:AL64"/>
    <mergeCell ref="AM64:AQ64"/>
    <mergeCell ref="AR64:AV64"/>
    <mergeCell ref="AI80:AL80"/>
    <mergeCell ref="AM80:AQ80"/>
    <mergeCell ref="AR80:AV80"/>
    <mergeCell ref="AC76:AH79"/>
    <mergeCell ref="AI76:AL76"/>
    <mergeCell ref="AM76:AQ76"/>
    <mergeCell ref="AR76:AV76"/>
    <mergeCell ref="AI77:AL77"/>
    <mergeCell ref="AI79:AL79"/>
    <mergeCell ref="AM79:AQ79"/>
    <mergeCell ref="AR79:AV79"/>
    <mergeCell ref="AW79:BA79"/>
    <mergeCell ref="AR81:AV81"/>
    <mergeCell ref="AW81:BA81"/>
    <mergeCell ref="AM75:AQ75"/>
    <mergeCell ref="AR75:AV75"/>
    <mergeCell ref="AW75:BA75"/>
    <mergeCell ref="AW80:BA80"/>
    <mergeCell ref="AM77:AQ77"/>
    <mergeCell ref="AR77:AV77"/>
    <mergeCell ref="AW77:AZ77"/>
  </mergeCells>
  <phoneticPr fontId="7" type="noConversion"/>
  <pageMargins left="0.7" right="0.7" top="0.75" bottom="0.75" header="0.3" footer="0.3"/>
  <pageSetup paperSize="8" scale="4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DCB5-2CEC-478A-9A6D-ACF5F19E1EFB}">
  <dimension ref="B1:BI36"/>
  <sheetViews>
    <sheetView rightToLeft="1" view="pageBreakPreview" topLeftCell="AA22" zoomScale="85" zoomScaleNormal="100" zoomScaleSheetLayoutView="85" workbookViewId="0">
      <selection activeCell="AH3" sqref="AH3"/>
    </sheetView>
  </sheetViews>
  <sheetFormatPr defaultRowHeight="14.25" x14ac:dyDescent="0.2"/>
  <cols>
    <col min="1" max="6" width="4.125" customWidth="1"/>
    <col min="7" max="7" width="5" customWidth="1"/>
    <col min="8" max="14" width="4.125" customWidth="1"/>
    <col min="15" max="15" width="4.375" customWidth="1"/>
    <col min="16" max="17" width="4.125" customWidth="1"/>
    <col min="18" max="18" width="6.25" customWidth="1"/>
    <col min="19" max="19" width="4.125" hidden="1" customWidth="1"/>
    <col min="20" max="21" width="4.125" customWidth="1"/>
    <col min="22" max="22" width="7.25" customWidth="1"/>
    <col min="23" max="43" width="4.125" customWidth="1"/>
    <col min="44" max="48" width="8.625" customWidth="1"/>
    <col min="49" max="63" width="4.125" customWidth="1"/>
  </cols>
  <sheetData>
    <row r="1" spans="2:61" ht="30" customHeight="1" x14ac:dyDescent="0.3">
      <c r="B1" s="243" t="s">
        <v>16</v>
      </c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BF1" s="70"/>
      <c r="BG1" s="70"/>
      <c r="BH1" s="70"/>
      <c r="BI1" s="70"/>
    </row>
    <row r="2" spans="2:61" ht="30" customHeight="1" x14ac:dyDescent="0.3">
      <c r="B2" s="243" t="s">
        <v>17</v>
      </c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E2" s="13"/>
      <c r="AF2" s="244" t="s">
        <v>22</v>
      </c>
      <c r="AG2" s="244"/>
      <c r="AH2" s="245">
        <v>46196</v>
      </c>
      <c r="AI2" s="244"/>
      <c r="AJ2" s="244"/>
      <c r="AK2" s="244"/>
      <c r="AL2" s="246">
        <f>AH2</f>
        <v>46196</v>
      </c>
      <c r="AM2" s="247"/>
      <c r="AN2" s="12"/>
      <c r="AO2" s="12"/>
      <c r="AP2" s="12"/>
      <c r="AX2" s="71"/>
      <c r="AY2" s="71"/>
      <c r="AZ2" s="71"/>
      <c r="BA2" s="71"/>
    </row>
    <row r="3" spans="2:61" ht="30" customHeight="1" x14ac:dyDescent="0.3">
      <c r="B3" s="230" t="s">
        <v>1769</v>
      </c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2"/>
      <c r="AX3" s="72"/>
      <c r="AY3" s="72"/>
      <c r="AZ3" s="72"/>
      <c r="BA3" s="72"/>
    </row>
    <row r="4" spans="2:61" ht="30" customHeight="1" x14ac:dyDescent="0.25">
      <c r="B4" s="3" t="s">
        <v>0</v>
      </c>
      <c r="C4" s="240" t="s">
        <v>1</v>
      </c>
      <c r="D4" s="240"/>
      <c r="E4" s="240"/>
      <c r="F4" s="240"/>
      <c r="G4" s="240"/>
      <c r="H4" s="227" t="s">
        <v>19</v>
      </c>
      <c r="I4" s="228"/>
      <c r="J4" s="228"/>
      <c r="K4" s="229"/>
      <c r="L4" s="227" t="s">
        <v>20</v>
      </c>
      <c r="M4" s="228"/>
      <c r="N4" s="228"/>
      <c r="O4" s="229"/>
      <c r="P4" s="227" t="s">
        <v>1774</v>
      </c>
      <c r="Q4" s="228"/>
      <c r="R4" s="228"/>
      <c r="S4" s="228"/>
      <c r="T4" s="240" t="s">
        <v>1775</v>
      </c>
      <c r="U4" s="240"/>
      <c r="V4" s="240"/>
      <c r="W4" s="240" t="s">
        <v>10</v>
      </c>
      <c r="X4" s="240"/>
      <c r="Y4" s="240"/>
      <c r="Z4" s="240"/>
      <c r="AX4" s="227" t="s">
        <v>18</v>
      </c>
      <c r="AY4" s="228"/>
      <c r="AZ4" s="228"/>
      <c r="BA4" s="229"/>
    </row>
    <row r="5" spans="2:61" ht="30" customHeight="1" x14ac:dyDescent="0.25">
      <c r="B5" s="3"/>
      <c r="C5" s="241" t="s">
        <v>5</v>
      </c>
      <c r="D5" s="242"/>
      <c r="E5" s="242"/>
      <c r="F5" s="242"/>
      <c r="G5" s="242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5"/>
      <c r="T5" s="21"/>
      <c r="U5" s="21"/>
      <c r="V5" s="21"/>
      <c r="W5" s="21"/>
      <c r="X5" s="21"/>
      <c r="Y5" s="21"/>
      <c r="Z5" s="21"/>
      <c r="AL5" t="s">
        <v>11</v>
      </c>
      <c r="AM5" t="s">
        <v>12</v>
      </c>
      <c r="AN5" t="s">
        <v>13</v>
      </c>
      <c r="AO5" t="s">
        <v>14</v>
      </c>
      <c r="AP5" t="s">
        <v>9</v>
      </c>
      <c r="AQ5" t="s">
        <v>15</v>
      </c>
      <c r="AX5" s="242"/>
      <c r="AY5" s="242"/>
      <c r="AZ5" s="242"/>
      <c r="BA5" s="242"/>
    </row>
    <row r="6" spans="2:61" ht="30" customHeight="1" x14ac:dyDescent="0.25">
      <c r="B6" s="3">
        <v>1</v>
      </c>
      <c r="C6" s="218" t="s">
        <v>2</v>
      </c>
      <c r="D6" s="218"/>
      <c r="E6" s="218"/>
      <c r="F6" s="218"/>
      <c r="G6" s="218"/>
      <c r="H6" s="181">
        <v>600</v>
      </c>
      <c r="I6" s="182"/>
      <c r="J6" s="182"/>
      <c r="K6" s="183"/>
      <c r="L6" s="215">
        <f>AX6+H6</f>
        <v>112243</v>
      </c>
      <c r="M6" s="216"/>
      <c r="N6" s="216"/>
      <c r="O6" s="217"/>
      <c r="P6" s="233">
        <v>500</v>
      </c>
      <c r="Q6" s="234"/>
      <c r="R6" s="234"/>
      <c r="S6" s="239"/>
      <c r="T6" s="233">
        <f>H6-P6</f>
        <v>100</v>
      </c>
      <c r="U6" s="234"/>
      <c r="V6" s="234"/>
      <c r="W6" s="219"/>
      <c r="X6" s="219"/>
      <c r="Y6" s="219"/>
      <c r="Z6" s="219"/>
      <c r="AA6" s="1"/>
      <c r="AB6" s="1"/>
      <c r="AC6" s="1"/>
      <c r="AD6" s="1"/>
      <c r="AE6" s="1"/>
      <c r="AF6" s="1"/>
      <c r="AG6" s="1"/>
      <c r="AH6" s="1"/>
      <c r="AI6" s="1"/>
      <c r="AJ6" s="1"/>
      <c r="AL6" s="1">
        <f>L6</f>
        <v>112243</v>
      </c>
      <c r="AM6" s="1">
        <f>L11</f>
        <v>109373</v>
      </c>
      <c r="AN6" s="1">
        <f>L7</f>
        <v>109373</v>
      </c>
      <c r="AO6" s="1">
        <f>L8</f>
        <v>107363</v>
      </c>
      <c r="AP6" s="6">
        <f>L12</f>
        <v>115363</v>
      </c>
      <c r="AQ6" s="2">
        <v>115363</v>
      </c>
      <c r="AX6" s="193">
        <v>111643</v>
      </c>
      <c r="AY6" s="194"/>
      <c r="AZ6" s="194"/>
      <c r="BA6" s="195"/>
    </row>
    <row r="7" spans="2:61" ht="30" customHeight="1" x14ac:dyDescent="0.25">
      <c r="B7" s="3">
        <v>2</v>
      </c>
      <c r="C7" s="218" t="s">
        <v>3</v>
      </c>
      <c r="D7" s="218"/>
      <c r="E7" s="218"/>
      <c r="F7" s="218"/>
      <c r="G7" s="218"/>
      <c r="H7" s="181">
        <v>0</v>
      </c>
      <c r="I7" s="182"/>
      <c r="J7" s="182"/>
      <c r="K7" s="183"/>
      <c r="L7" s="212">
        <f>AX7+H7</f>
        <v>109373</v>
      </c>
      <c r="M7" s="213"/>
      <c r="N7" s="213"/>
      <c r="O7" s="214"/>
      <c r="P7" s="206">
        <v>500</v>
      </c>
      <c r="Q7" s="207"/>
      <c r="R7" s="207"/>
      <c r="S7" s="208"/>
      <c r="T7" s="233">
        <f>H7-P7</f>
        <v>-500</v>
      </c>
      <c r="U7" s="234"/>
      <c r="V7" s="234"/>
      <c r="W7" s="219"/>
      <c r="X7" s="219"/>
      <c r="Y7" s="219"/>
      <c r="Z7" s="219"/>
      <c r="AG7" s="1"/>
      <c r="AX7" s="193">
        <v>109373</v>
      </c>
      <c r="AY7" s="194"/>
      <c r="AZ7" s="194"/>
      <c r="BA7" s="195"/>
    </row>
    <row r="8" spans="2:61" ht="30" customHeight="1" x14ac:dyDescent="0.25">
      <c r="B8" s="3">
        <v>3</v>
      </c>
      <c r="C8" s="218" t="s">
        <v>4</v>
      </c>
      <c r="D8" s="218"/>
      <c r="E8" s="218"/>
      <c r="F8" s="218"/>
      <c r="G8" s="218"/>
      <c r="H8" s="181">
        <v>590</v>
      </c>
      <c r="I8" s="182"/>
      <c r="J8" s="182"/>
      <c r="K8" s="183"/>
      <c r="L8" s="236">
        <f>AX8+H8</f>
        <v>107363</v>
      </c>
      <c r="M8" s="237"/>
      <c r="N8" s="237"/>
      <c r="O8" s="238"/>
      <c r="P8" s="206">
        <v>500</v>
      </c>
      <c r="Q8" s="207"/>
      <c r="R8" s="207"/>
      <c r="S8" s="208"/>
      <c r="T8" s="233">
        <f>H8-P8</f>
        <v>90</v>
      </c>
      <c r="U8" s="234"/>
      <c r="V8" s="234"/>
      <c r="W8" s="219"/>
      <c r="X8" s="219"/>
      <c r="Y8" s="219"/>
      <c r="Z8" s="219"/>
      <c r="AG8" s="1"/>
      <c r="AX8" s="193">
        <v>106773</v>
      </c>
      <c r="AY8" s="194"/>
      <c r="AZ8" s="194"/>
      <c r="BA8" s="195"/>
    </row>
    <row r="9" spans="2:61" ht="30" customHeight="1" x14ac:dyDescent="0.25">
      <c r="B9" s="3"/>
      <c r="C9" s="241" t="s">
        <v>6</v>
      </c>
      <c r="D9" s="242"/>
      <c r="E9" s="242"/>
      <c r="F9" s="242"/>
      <c r="G9" s="24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5"/>
      <c r="T9" s="21"/>
      <c r="U9" s="21"/>
      <c r="V9" s="21"/>
      <c r="W9" s="21"/>
      <c r="X9" s="21"/>
      <c r="Y9" s="21"/>
      <c r="Z9" s="21"/>
      <c r="AG9" s="1"/>
      <c r="AX9" s="4"/>
      <c r="AY9" s="4"/>
      <c r="AZ9" s="4"/>
      <c r="BA9" s="4"/>
    </row>
    <row r="10" spans="2:61" ht="30" customHeight="1" x14ac:dyDescent="0.25">
      <c r="B10" s="3">
        <v>1</v>
      </c>
      <c r="C10" s="235" t="s">
        <v>7</v>
      </c>
      <c r="D10" s="235"/>
      <c r="E10" s="235"/>
      <c r="F10" s="235"/>
      <c r="G10" s="235"/>
      <c r="H10" s="193">
        <v>0</v>
      </c>
      <c r="I10" s="194"/>
      <c r="J10" s="194"/>
      <c r="K10" s="195"/>
      <c r="L10" s="206">
        <f>AX10+H10</f>
        <v>115363</v>
      </c>
      <c r="M10" s="207"/>
      <c r="N10" s="207"/>
      <c r="O10" s="208"/>
      <c r="P10" s="206">
        <v>500</v>
      </c>
      <c r="Q10" s="207"/>
      <c r="R10" s="207"/>
      <c r="S10" s="208"/>
      <c r="T10" s="233">
        <f>H10-P10</f>
        <v>-500</v>
      </c>
      <c r="U10" s="234"/>
      <c r="V10" s="234"/>
      <c r="W10" s="219"/>
      <c r="X10" s="219"/>
      <c r="Y10" s="219"/>
      <c r="Z10" s="219"/>
      <c r="AG10" s="1"/>
      <c r="AX10" s="193">
        <v>115363</v>
      </c>
      <c r="AY10" s="194"/>
      <c r="AZ10" s="194"/>
      <c r="BA10" s="195"/>
    </row>
    <row r="11" spans="2:61" ht="30" customHeight="1" x14ac:dyDescent="0.25">
      <c r="B11" s="3">
        <v>2</v>
      </c>
      <c r="C11" s="218" t="s">
        <v>8</v>
      </c>
      <c r="D11" s="218"/>
      <c r="E11" s="218"/>
      <c r="F11" s="218"/>
      <c r="G11" s="218"/>
      <c r="H11" s="193">
        <v>0</v>
      </c>
      <c r="I11" s="194"/>
      <c r="J11" s="194"/>
      <c r="K11" s="195"/>
      <c r="L11" s="184">
        <f>AX11+H11</f>
        <v>109373</v>
      </c>
      <c r="M11" s="185"/>
      <c r="N11" s="185"/>
      <c r="O11" s="186"/>
      <c r="P11" s="206">
        <v>500</v>
      </c>
      <c r="Q11" s="207"/>
      <c r="R11" s="207"/>
      <c r="S11" s="208"/>
      <c r="T11" s="233">
        <f>H11-P11</f>
        <v>-500</v>
      </c>
      <c r="U11" s="234"/>
      <c r="V11" s="234"/>
      <c r="W11" s="219"/>
      <c r="X11" s="219"/>
      <c r="Y11" s="219"/>
      <c r="Z11" s="219"/>
      <c r="AG11" s="1"/>
      <c r="AX11" s="193">
        <v>109373</v>
      </c>
      <c r="AY11" s="194"/>
      <c r="AZ11" s="194"/>
      <c r="BA11" s="195"/>
    </row>
    <row r="12" spans="2:61" ht="30" customHeight="1" x14ac:dyDescent="0.25">
      <c r="B12" s="3">
        <v>3</v>
      </c>
      <c r="C12" s="218" t="s">
        <v>9</v>
      </c>
      <c r="D12" s="218"/>
      <c r="E12" s="218"/>
      <c r="F12" s="218"/>
      <c r="G12" s="218"/>
      <c r="H12" s="193">
        <v>0</v>
      </c>
      <c r="I12" s="194"/>
      <c r="J12" s="194"/>
      <c r="K12" s="195"/>
      <c r="L12" s="202">
        <f>AX12+H12</f>
        <v>115363</v>
      </c>
      <c r="M12" s="203"/>
      <c r="N12" s="203"/>
      <c r="O12" s="204"/>
      <c r="P12" s="206"/>
      <c r="Q12" s="207"/>
      <c r="R12" s="207"/>
      <c r="S12" s="208"/>
      <c r="T12" s="219"/>
      <c r="U12" s="219"/>
      <c r="V12" s="219"/>
      <c r="W12" s="219"/>
      <c r="X12" s="219"/>
      <c r="Y12" s="219"/>
      <c r="Z12" s="219"/>
      <c r="AX12" s="193">
        <v>115363</v>
      </c>
      <c r="AY12" s="194"/>
      <c r="AZ12" s="194"/>
      <c r="BA12" s="195"/>
    </row>
    <row r="13" spans="2:61" ht="30" customHeight="1" x14ac:dyDescent="0.25">
      <c r="B13" s="7"/>
      <c r="C13" s="8"/>
      <c r="D13" s="8"/>
      <c r="E13" s="8"/>
      <c r="F13" s="8"/>
      <c r="G13" s="8"/>
      <c r="H13" s="9"/>
      <c r="I13" s="9"/>
      <c r="J13" s="9"/>
      <c r="K13" s="9"/>
      <c r="L13" s="10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X13" s="9"/>
      <c r="AY13" s="9"/>
      <c r="AZ13" s="9"/>
      <c r="BA13" s="9"/>
    </row>
    <row r="14" spans="2:61" ht="30" customHeight="1" x14ac:dyDescent="0.3">
      <c r="B14" s="230" t="s">
        <v>1770</v>
      </c>
      <c r="C14" s="231"/>
      <c r="D14" s="231"/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2"/>
      <c r="AX14" s="72"/>
      <c r="AY14" s="72"/>
      <c r="AZ14" s="72"/>
      <c r="BA14" s="72"/>
    </row>
    <row r="15" spans="2:61" ht="30" customHeight="1" x14ac:dyDescent="0.25">
      <c r="B15" s="3" t="s">
        <v>0</v>
      </c>
      <c r="C15" s="240" t="s">
        <v>1</v>
      </c>
      <c r="D15" s="240"/>
      <c r="E15" s="240"/>
      <c r="F15" s="240"/>
      <c r="G15" s="240"/>
      <c r="H15" s="227" t="s">
        <v>19</v>
      </c>
      <c r="I15" s="228"/>
      <c r="J15" s="228"/>
      <c r="K15" s="229"/>
      <c r="L15" s="227" t="s">
        <v>20</v>
      </c>
      <c r="M15" s="228"/>
      <c r="N15" s="228"/>
      <c r="O15" s="229"/>
      <c r="P15" s="227" t="s">
        <v>1774</v>
      </c>
      <c r="Q15" s="228"/>
      <c r="R15" s="228"/>
      <c r="S15" s="228"/>
      <c r="T15" s="240" t="s">
        <v>1775</v>
      </c>
      <c r="U15" s="240"/>
      <c r="V15" s="240"/>
      <c r="W15" s="240" t="s">
        <v>10</v>
      </c>
      <c r="X15" s="240"/>
      <c r="Y15" s="240"/>
      <c r="Z15" s="240"/>
      <c r="AX15" s="227" t="s">
        <v>18</v>
      </c>
      <c r="AY15" s="228"/>
      <c r="AZ15" s="228"/>
      <c r="BA15" s="229"/>
    </row>
    <row r="16" spans="2:61" ht="30" customHeight="1" x14ac:dyDescent="0.25">
      <c r="B16" s="3"/>
      <c r="C16" s="14" t="s">
        <v>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5"/>
      <c r="T16" s="21"/>
      <c r="U16" s="21"/>
      <c r="V16" s="21"/>
      <c r="W16" s="21"/>
      <c r="X16" s="21"/>
      <c r="Y16" s="21"/>
      <c r="Z16" s="21"/>
      <c r="AL16" t="s">
        <v>11</v>
      </c>
      <c r="AM16" t="s">
        <v>12</v>
      </c>
      <c r="AN16" t="s">
        <v>13</v>
      </c>
      <c r="AO16" t="s">
        <v>14</v>
      </c>
      <c r="AP16" t="s">
        <v>9</v>
      </c>
      <c r="AQ16" t="s">
        <v>15</v>
      </c>
      <c r="AX16" s="4"/>
      <c r="AY16" s="4"/>
      <c r="AZ16" s="4"/>
      <c r="BA16" s="4"/>
    </row>
    <row r="17" spans="2:55" ht="30" customHeight="1" x14ac:dyDescent="0.25">
      <c r="B17" s="3">
        <v>1</v>
      </c>
      <c r="C17" s="218" t="s">
        <v>2</v>
      </c>
      <c r="D17" s="218"/>
      <c r="E17" s="218"/>
      <c r="F17" s="218"/>
      <c r="G17" s="218"/>
      <c r="H17" s="181">
        <v>460</v>
      </c>
      <c r="I17" s="182"/>
      <c r="J17" s="182"/>
      <c r="K17" s="183"/>
      <c r="L17" s="215">
        <f>AX17+H17</f>
        <v>107960</v>
      </c>
      <c r="M17" s="216"/>
      <c r="N17" s="216"/>
      <c r="O17" s="217"/>
      <c r="P17" s="233">
        <v>500</v>
      </c>
      <c r="Q17" s="234"/>
      <c r="R17" s="234"/>
      <c r="S17" s="239"/>
      <c r="T17" s="233">
        <f>H17-P17</f>
        <v>-40</v>
      </c>
      <c r="U17" s="234"/>
      <c r="V17" s="234"/>
      <c r="W17" s="219"/>
      <c r="X17" s="219"/>
      <c r="Y17" s="219"/>
      <c r="Z17" s="219"/>
      <c r="AA17" s="192"/>
      <c r="AB17" s="192"/>
      <c r="AC17" s="192"/>
      <c r="AD17" s="192"/>
      <c r="AE17" s="192"/>
      <c r="AF17" s="192"/>
      <c r="AG17" s="192"/>
      <c r="AH17" s="179"/>
      <c r="AI17" s="179"/>
      <c r="AJ17" s="179"/>
      <c r="AL17" s="1">
        <f>L17</f>
        <v>107960</v>
      </c>
      <c r="AM17" s="1">
        <f>L22</f>
        <v>106110</v>
      </c>
      <c r="AN17" s="1">
        <f>L18</f>
        <v>104930</v>
      </c>
      <c r="AO17" s="1">
        <f>L19</f>
        <v>102560</v>
      </c>
      <c r="AP17" s="6">
        <f>L23</f>
        <v>110900</v>
      </c>
      <c r="AQ17" s="2">
        <v>110900</v>
      </c>
      <c r="AX17" s="193">
        <v>107500</v>
      </c>
      <c r="AY17" s="194"/>
      <c r="AZ17" s="194"/>
      <c r="BA17" s="195"/>
    </row>
    <row r="18" spans="2:55" ht="30" customHeight="1" x14ac:dyDescent="0.25">
      <c r="B18" s="3">
        <v>2</v>
      </c>
      <c r="C18" s="218" t="s">
        <v>3</v>
      </c>
      <c r="D18" s="218"/>
      <c r="E18" s="218"/>
      <c r="F18" s="218"/>
      <c r="G18" s="218"/>
      <c r="H18" s="181">
        <v>0</v>
      </c>
      <c r="I18" s="182"/>
      <c r="J18" s="182"/>
      <c r="K18" s="183"/>
      <c r="L18" s="212">
        <f>AX18+H18</f>
        <v>104930</v>
      </c>
      <c r="M18" s="213"/>
      <c r="N18" s="213"/>
      <c r="O18" s="214"/>
      <c r="P18" s="206">
        <v>500</v>
      </c>
      <c r="Q18" s="207"/>
      <c r="R18" s="207"/>
      <c r="S18" s="208"/>
      <c r="T18" s="233">
        <f>H18-P18</f>
        <v>-500</v>
      </c>
      <c r="U18" s="234"/>
      <c r="V18" s="234"/>
      <c r="W18" s="219"/>
      <c r="X18" s="219"/>
      <c r="Y18" s="219"/>
      <c r="Z18" s="219"/>
      <c r="AA18" s="179"/>
      <c r="AB18" s="179"/>
      <c r="AC18" s="179"/>
      <c r="AD18" s="179"/>
      <c r="AE18" s="179"/>
      <c r="AF18" s="179"/>
      <c r="AG18" s="192"/>
      <c r="AH18" s="179"/>
      <c r="AI18" s="179"/>
      <c r="AJ18" s="179"/>
      <c r="AX18" s="193">
        <v>104930</v>
      </c>
      <c r="AY18" s="194"/>
      <c r="AZ18" s="194"/>
      <c r="BA18" s="195"/>
    </row>
    <row r="19" spans="2:55" ht="30" customHeight="1" x14ac:dyDescent="0.25">
      <c r="B19" s="3">
        <v>3</v>
      </c>
      <c r="C19" s="218" t="s">
        <v>4</v>
      </c>
      <c r="D19" s="218"/>
      <c r="E19" s="218"/>
      <c r="F19" s="218"/>
      <c r="G19" s="218"/>
      <c r="H19" s="181">
        <v>0</v>
      </c>
      <c r="I19" s="182"/>
      <c r="J19" s="182"/>
      <c r="K19" s="183"/>
      <c r="L19" s="236">
        <f>AX19+H19</f>
        <v>102560</v>
      </c>
      <c r="M19" s="237"/>
      <c r="N19" s="237"/>
      <c r="O19" s="238"/>
      <c r="P19" s="206">
        <v>500</v>
      </c>
      <c r="Q19" s="207"/>
      <c r="R19" s="207"/>
      <c r="S19" s="208"/>
      <c r="T19" s="233">
        <f>H19-P19</f>
        <v>-500</v>
      </c>
      <c r="U19" s="234"/>
      <c r="V19" s="234"/>
      <c r="W19" s="219"/>
      <c r="X19" s="219"/>
      <c r="Y19" s="219"/>
      <c r="Z19" s="219"/>
      <c r="AA19" s="179"/>
      <c r="AB19" s="179"/>
      <c r="AC19" s="179"/>
      <c r="AD19" s="179"/>
      <c r="AE19" s="179"/>
      <c r="AF19" s="179"/>
      <c r="AG19" s="192"/>
      <c r="AH19" s="179"/>
      <c r="AI19" s="179"/>
      <c r="AJ19" s="179"/>
      <c r="AX19" s="193">
        <v>102560</v>
      </c>
      <c r="AY19" s="194"/>
      <c r="AZ19" s="194"/>
      <c r="BA19" s="195"/>
    </row>
    <row r="20" spans="2:55" ht="30" customHeight="1" x14ac:dyDescent="0.25">
      <c r="B20" s="3"/>
      <c r="C20" s="14" t="s">
        <v>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5"/>
      <c r="T20" s="21"/>
      <c r="U20" s="21"/>
      <c r="V20" s="21"/>
      <c r="W20" s="21"/>
      <c r="X20" s="21"/>
      <c r="Y20" s="21"/>
      <c r="Z20" s="21"/>
      <c r="AA20" s="179"/>
      <c r="AB20" s="179"/>
      <c r="AC20" s="179"/>
      <c r="AD20" s="179"/>
      <c r="AE20" s="179"/>
      <c r="AF20" s="179"/>
      <c r="AG20" s="192"/>
      <c r="AH20" s="179"/>
      <c r="AI20" s="179"/>
      <c r="AJ20" s="179"/>
      <c r="AX20" s="4"/>
      <c r="AY20" s="4"/>
      <c r="AZ20" s="4"/>
      <c r="BA20" s="4"/>
    </row>
    <row r="21" spans="2:55" ht="30" customHeight="1" x14ac:dyDescent="0.25">
      <c r="B21" s="3">
        <v>1</v>
      </c>
      <c r="C21" s="235" t="s">
        <v>7</v>
      </c>
      <c r="D21" s="235"/>
      <c r="E21" s="235"/>
      <c r="F21" s="235"/>
      <c r="G21" s="235"/>
      <c r="H21" s="193">
        <v>0</v>
      </c>
      <c r="I21" s="194"/>
      <c r="J21" s="194"/>
      <c r="K21" s="195"/>
      <c r="L21" s="206">
        <f>AX21+H21</f>
        <v>110780</v>
      </c>
      <c r="M21" s="207"/>
      <c r="N21" s="207"/>
      <c r="O21" s="208"/>
      <c r="P21" s="206">
        <v>500</v>
      </c>
      <c r="Q21" s="207"/>
      <c r="R21" s="207"/>
      <c r="S21" s="208"/>
      <c r="T21" s="233">
        <f>H21-P21</f>
        <v>-500</v>
      </c>
      <c r="U21" s="234"/>
      <c r="V21" s="234"/>
      <c r="W21" s="219"/>
      <c r="X21" s="219"/>
      <c r="Y21" s="219"/>
      <c r="Z21" s="219"/>
      <c r="AA21" s="179"/>
      <c r="AB21" s="179"/>
      <c r="AC21" s="179"/>
      <c r="AD21" s="179"/>
      <c r="AE21" s="179"/>
      <c r="AF21" s="179"/>
      <c r="AG21" s="192"/>
      <c r="AH21" s="179"/>
      <c r="AI21" s="179"/>
      <c r="AJ21" s="179"/>
      <c r="AX21" s="193">
        <v>110780</v>
      </c>
      <c r="AY21" s="194"/>
      <c r="AZ21" s="194"/>
      <c r="BA21" s="195"/>
      <c r="BB21" s="178">
        <v>140</v>
      </c>
      <c r="BC21" s="179"/>
    </row>
    <row r="22" spans="2:55" ht="30" customHeight="1" x14ac:dyDescent="0.25">
      <c r="B22" s="3">
        <v>2</v>
      </c>
      <c r="C22" s="218" t="s">
        <v>8</v>
      </c>
      <c r="D22" s="218"/>
      <c r="E22" s="218"/>
      <c r="F22" s="218"/>
      <c r="G22" s="218"/>
      <c r="H22" s="193">
        <v>600</v>
      </c>
      <c r="I22" s="194"/>
      <c r="J22" s="194"/>
      <c r="K22" s="195"/>
      <c r="L22" s="184">
        <f>AX22+H22</f>
        <v>106110</v>
      </c>
      <c r="M22" s="185"/>
      <c r="N22" s="185"/>
      <c r="O22" s="186"/>
      <c r="P22" s="206">
        <v>500</v>
      </c>
      <c r="Q22" s="207"/>
      <c r="R22" s="207"/>
      <c r="S22" s="208"/>
      <c r="T22" s="233">
        <f>H22-P22</f>
        <v>100</v>
      </c>
      <c r="U22" s="234"/>
      <c r="V22" s="234"/>
      <c r="W22" s="219"/>
      <c r="X22" s="219"/>
      <c r="Y22" s="219"/>
      <c r="Z22" s="219"/>
      <c r="AA22" s="179"/>
      <c r="AB22" s="179"/>
      <c r="AC22" s="179"/>
      <c r="AD22" s="179"/>
      <c r="AE22" s="179"/>
      <c r="AF22" s="179"/>
      <c r="AG22" s="192"/>
      <c r="AH22" s="179"/>
      <c r="AI22" s="179"/>
      <c r="AJ22" s="179"/>
      <c r="AX22" s="193">
        <v>105510</v>
      </c>
      <c r="AY22" s="194"/>
      <c r="AZ22" s="194"/>
      <c r="BA22" s="195"/>
    </row>
    <row r="23" spans="2:55" ht="30" customHeight="1" x14ac:dyDescent="0.25">
      <c r="B23" s="3">
        <v>3</v>
      </c>
      <c r="C23" s="218" t="s">
        <v>9</v>
      </c>
      <c r="D23" s="218"/>
      <c r="E23" s="218"/>
      <c r="F23" s="218"/>
      <c r="G23" s="218"/>
      <c r="H23" s="193">
        <v>0</v>
      </c>
      <c r="I23" s="194"/>
      <c r="J23" s="194"/>
      <c r="K23" s="195"/>
      <c r="L23" s="202">
        <f>AX23+H23</f>
        <v>110900</v>
      </c>
      <c r="M23" s="203"/>
      <c r="N23" s="203"/>
      <c r="O23" s="204"/>
      <c r="P23" s="206"/>
      <c r="Q23" s="207"/>
      <c r="R23" s="207"/>
      <c r="S23" s="208"/>
      <c r="T23" s="219"/>
      <c r="U23" s="219"/>
      <c r="V23" s="219"/>
      <c r="W23" s="219"/>
      <c r="X23" s="219"/>
      <c r="Y23" s="219"/>
      <c r="Z23" s="219"/>
      <c r="AX23" s="193">
        <v>110900</v>
      </c>
      <c r="AY23" s="194"/>
      <c r="AZ23" s="194"/>
      <c r="BA23" s="195"/>
    </row>
    <row r="24" spans="2:55" ht="30" customHeight="1" x14ac:dyDescent="0.2"/>
    <row r="25" spans="2:55" ht="30" customHeight="1" x14ac:dyDescent="0.3">
      <c r="B25" s="230" t="s">
        <v>21</v>
      </c>
      <c r="C25" s="231"/>
      <c r="D25" s="231"/>
      <c r="E25" s="23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2"/>
      <c r="AX25" s="72"/>
      <c r="AY25" s="72"/>
      <c r="AZ25" s="72"/>
      <c r="BA25" s="72"/>
    </row>
    <row r="26" spans="2:55" ht="30" customHeight="1" x14ac:dyDescent="0.25">
      <c r="B26" s="126" t="s">
        <v>0</v>
      </c>
      <c r="C26" s="220" t="s">
        <v>1</v>
      </c>
      <c r="D26" s="220"/>
      <c r="E26" s="220"/>
      <c r="F26" s="220"/>
      <c r="G26" s="220"/>
      <c r="H26" s="221" t="s">
        <v>19</v>
      </c>
      <c r="I26" s="222"/>
      <c r="J26" s="222"/>
      <c r="K26" s="223"/>
      <c r="L26" s="221" t="s">
        <v>20</v>
      </c>
      <c r="M26" s="222"/>
      <c r="N26" s="222"/>
      <c r="O26" s="223"/>
      <c r="P26" s="224" t="s">
        <v>1780</v>
      </c>
      <c r="Q26" s="225"/>
      <c r="R26" s="225"/>
      <c r="S26" s="225"/>
      <c r="T26" s="226"/>
      <c r="U26" s="224" t="s">
        <v>10</v>
      </c>
      <c r="V26" s="225"/>
      <c r="W26" s="225"/>
      <c r="X26" s="225"/>
      <c r="Y26" s="225"/>
      <c r="Z26" s="226"/>
      <c r="AX26" s="227" t="s">
        <v>18</v>
      </c>
      <c r="AY26" s="228"/>
      <c r="AZ26" s="228"/>
      <c r="BA26" s="229"/>
    </row>
    <row r="27" spans="2:55" ht="30" customHeight="1" x14ac:dyDescent="0.25">
      <c r="B27" s="3"/>
      <c r="C27" s="127" t="s">
        <v>5</v>
      </c>
      <c r="D27" s="128"/>
      <c r="E27" s="128"/>
      <c r="F27" s="128"/>
      <c r="G27" s="12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5"/>
      <c r="T27" s="21"/>
      <c r="U27" s="21"/>
      <c r="V27" s="21"/>
      <c r="W27" s="21"/>
      <c r="X27" s="21"/>
      <c r="Y27" s="21"/>
      <c r="Z27" s="21"/>
      <c r="AL27" t="s">
        <v>11</v>
      </c>
      <c r="AM27" t="s">
        <v>12</v>
      </c>
      <c r="AN27" t="s">
        <v>13</v>
      </c>
      <c r="AO27" t="s">
        <v>14</v>
      </c>
      <c r="AP27" t="s">
        <v>9</v>
      </c>
      <c r="AQ27" t="s">
        <v>15</v>
      </c>
      <c r="AX27" s="4"/>
      <c r="AY27" s="4"/>
      <c r="AZ27" s="4"/>
      <c r="BA27" s="4"/>
    </row>
    <row r="28" spans="2:55" ht="30" customHeight="1" x14ac:dyDescent="0.25">
      <c r="B28" s="3">
        <v>1</v>
      </c>
      <c r="C28" s="180" t="s">
        <v>2</v>
      </c>
      <c r="D28" s="180"/>
      <c r="E28" s="180"/>
      <c r="F28" s="180"/>
      <c r="G28" s="180"/>
      <c r="H28" s="181">
        <f>H6+H17</f>
        <v>1060</v>
      </c>
      <c r="I28" s="182"/>
      <c r="J28" s="182"/>
      <c r="K28" s="183"/>
      <c r="L28" s="215">
        <f>AX28+H28</f>
        <v>220203</v>
      </c>
      <c r="M28" s="216"/>
      <c r="N28" s="216"/>
      <c r="O28" s="217"/>
      <c r="P28" s="187">
        <f>L32-L28</f>
        <v>5940</v>
      </c>
      <c r="Q28" s="188"/>
      <c r="R28" s="188"/>
      <c r="S28" s="188"/>
      <c r="T28" s="188"/>
      <c r="U28" s="189" t="s">
        <v>1781</v>
      </c>
      <c r="V28" s="190"/>
      <c r="W28" s="190"/>
      <c r="X28" s="190"/>
      <c r="Y28" s="190"/>
      <c r="Z28" s="191"/>
      <c r="AA28" s="192"/>
      <c r="AB28" s="192"/>
      <c r="AC28" s="192"/>
      <c r="AD28" s="192"/>
      <c r="AE28" s="192"/>
      <c r="AF28" s="192"/>
      <c r="AG28" s="192"/>
      <c r="AH28" s="179"/>
      <c r="AI28" s="179"/>
      <c r="AJ28" s="179"/>
      <c r="AL28" s="1">
        <f>L28</f>
        <v>220203</v>
      </c>
      <c r="AM28" s="1">
        <f>L33</f>
        <v>215483</v>
      </c>
      <c r="AN28" s="1">
        <f>L29</f>
        <v>214303</v>
      </c>
      <c r="AO28" s="1">
        <f>L30</f>
        <v>209923</v>
      </c>
      <c r="AP28" s="6">
        <f>L34</f>
        <v>226263</v>
      </c>
      <c r="AQ28" s="2">
        <v>226263</v>
      </c>
      <c r="AX28" s="193">
        <f>AX6+AX17</f>
        <v>219143</v>
      </c>
      <c r="AY28" s="194"/>
      <c r="AZ28" s="194"/>
      <c r="BA28" s="195"/>
    </row>
    <row r="29" spans="2:55" ht="30" customHeight="1" x14ac:dyDescent="0.25">
      <c r="B29" s="3">
        <v>2</v>
      </c>
      <c r="C29" s="180" t="s">
        <v>3</v>
      </c>
      <c r="D29" s="180"/>
      <c r="E29" s="180"/>
      <c r="F29" s="180"/>
      <c r="G29" s="180"/>
      <c r="H29" s="181">
        <f>H7+H18</f>
        <v>0</v>
      </c>
      <c r="I29" s="182"/>
      <c r="J29" s="182"/>
      <c r="K29" s="183"/>
      <c r="L29" s="212">
        <f>AX29+H29</f>
        <v>214303</v>
      </c>
      <c r="M29" s="213"/>
      <c r="N29" s="213"/>
      <c r="O29" s="214"/>
      <c r="P29" s="187">
        <f>L33-L29</f>
        <v>1180</v>
      </c>
      <c r="Q29" s="188"/>
      <c r="R29" s="188"/>
      <c r="S29" s="188"/>
      <c r="T29" s="188"/>
      <c r="U29" s="189" t="s">
        <v>1786</v>
      </c>
      <c r="V29" s="190"/>
      <c r="W29" s="190"/>
      <c r="X29" s="190"/>
      <c r="Y29" s="190"/>
      <c r="Z29" s="191"/>
      <c r="AA29" s="179"/>
      <c r="AB29" s="179"/>
      <c r="AC29" s="179"/>
      <c r="AD29" s="179"/>
      <c r="AE29" s="179"/>
      <c r="AF29" s="179"/>
      <c r="AG29" s="192"/>
      <c r="AH29" s="179"/>
      <c r="AI29" s="179"/>
      <c r="AJ29" s="179"/>
      <c r="AX29" s="193">
        <f>AX7+AX18</f>
        <v>214303</v>
      </c>
      <c r="AY29" s="194"/>
      <c r="AZ29" s="194"/>
      <c r="BA29" s="195"/>
    </row>
    <row r="30" spans="2:55" ht="30" customHeight="1" x14ac:dyDescent="0.25">
      <c r="B30" s="3">
        <v>3</v>
      </c>
      <c r="C30" s="180" t="s">
        <v>4</v>
      </c>
      <c r="D30" s="180"/>
      <c r="E30" s="180"/>
      <c r="F30" s="180"/>
      <c r="G30" s="180"/>
      <c r="H30" s="181">
        <f>H8+H19</f>
        <v>590</v>
      </c>
      <c r="I30" s="182"/>
      <c r="J30" s="182"/>
      <c r="K30" s="183"/>
      <c r="L30" s="209">
        <f>AX30+H30</f>
        <v>209923</v>
      </c>
      <c r="M30" s="210"/>
      <c r="N30" s="210"/>
      <c r="O30" s="211"/>
      <c r="P30" s="187">
        <f>L29-L30</f>
        <v>4380</v>
      </c>
      <c r="Q30" s="188"/>
      <c r="R30" s="188"/>
      <c r="S30" s="188"/>
      <c r="T30" s="188"/>
      <c r="U30" s="189" t="s">
        <v>1782</v>
      </c>
      <c r="V30" s="190"/>
      <c r="W30" s="190"/>
      <c r="X30" s="190"/>
      <c r="Y30" s="190"/>
      <c r="Z30" s="191"/>
      <c r="AA30" s="179"/>
      <c r="AB30" s="179"/>
      <c r="AC30" s="179"/>
      <c r="AD30" s="179"/>
      <c r="AE30" s="179"/>
      <c r="AF30" s="179"/>
      <c r="AG30" s="192"/>
      <c r="AH30" s="179"/>
      <c r="AI30" s="179"/>
      <c r="AJ30" s="179"/>
      <c r="AX30" s="193">
        <f>AX8+AX19</f>
        <v>209333</v>
      </c>
      <c r="AY30" s="194"/>
      <c r="AZ30" s="194"/>
      <c r="BA30" s="195"/>
    </row>
    <row r="31" spans="2:55" ht="30" customHeight="1" x14ac:dyDescent="0.25">
      <c r="B31" s="3"/>
      <c r="C31" s="127" t="s">
        <v>6</v>
      </c>
      <c r="D31" s="128"/>
      <c r="E31" s="128"/>
      <c r="F31" s="128"/>
      <c r="G31" s="12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  <c r="T31" s="21"/>
      <c r="U31" s="21"/>
      <c r="V31" s="21"/>
      <c r="W31" s="21"/>
      <c r="X31" s="21"/>
      <c r="Y31" s="21"/>
      <c r="Z31" s="21"/>
      <c r="AA31" s="179"/>
      <c r="AB31" s="179"/>
      <c r="AC31" s="179"/>
      <c r="AD31" s="179"/>
      <c r="AE31" s="179"/>
      <c r="AF31" s="179"/>
      <c r="AG31" s="192"/>
      <c r="AH31" s="179"/>
      <c r="AI31" s="179"/>
      <c r="AJ31" s="179"/>
      <c r="AX31" s="4"/>
      <c r="AY31" s="4"/>
      <c r="AZ31" s="4"/>
      <c r="BA31" s="4"/>
    </row>
    <row r="32" spans="2:55" ht="30" customHeight="1" x14ac:dyDescent="0.25">
      <c r="B32" s="3">
        <v>1</v>
      </c>
      <c r="C32" s="205" t="s">
        <v>7</v>
      </c>
      <c r="D32" s="205"/>
      <c r="E32" s="205"/>
      <c r="F32" s="205"/>
      <c r="G32" s="205"/>
      <c r="H32" s="181">
        <f>H10+H21</f>
        <v>0</v>
      </c>
      <c r="I32" s="182"/>
      <c r="J32" s="182"/>
      <c r="K32" s="183"/>
      <c r="L32" s="206">
        <f>AX32+H32</f>
        <v>226143</v>
      </c>
      <c r="M32" s="207"/>
      <c r="N32" s="207"/>
      <c r="O32" s="208"/>
      <c r="P32" s="187">
        <f>226263-L32</f>
        <v>120</v>
      </c>
      <c r="Q32" s="188"/>
      <c r="R32" s="188"/>
      <c r="S32" s="188"/>
      <c r="T32" s="188"/>
      <c r="U32" s="189" t="s">
        <v>1783</v>
      </c>
      <c r="V32" s="190"/>
      <c r="W32" s="190"/>
      <c r="X32" s="190"/>
      <c r="Y32" s="190"/>
      <c r="Z32" s="191"/>
      <c r="AA32" s="179"/>
      <c r="AB32" s="179"/>
      <c r="AC32" s="179"/>
      <c r="AD32" s="179"/>
      <c r="AE32" s="179"/>
      <c r="AF32" s="179"/>
      <c r="AG32" s="192"/>
      <c r="AH32" s="179"/>
      <c r="AI32" s="179"/>
      <c r="AJ32" s="179"/>
      <c r="AX32" s="193">
        <f>AX10+AX21</f>
        <v>226143</v>
      </c>
      <c r="AY32" s="194"/>
      <c r="AZ32" s="194"/>
      <c r="BA32" s="195"/>
    </row>
    <row r="33" spans="2:53" ht="30" customHeight="1" x14ac:dyDescent="0.25">
      <c r="B33" s="3">
        <v>2</v>
      </c>
      <c r="C33" s="180" t="s">
        <v>8</v>
      </c>
      <c r="D33" s="180"/>
      <c r="E33" s="180"/>
      <c r="F33" s="180"/>
      <c r="G33" s="180"/>
      <c r="H33" s="181">
        <f>H11+H22</f>
        <v>600</v>
      </c>
      <c r="I33" s="182"/>
      <c r="J33" s="182"/>
      <c r="K33" s="183"/>
      <c r="L33" s="184">
        <f>AX33+H33</f>
        <v>215483</v>
      </c>
      <c r="M33" s="185"/>
      <c r="N33" s="185"/>
      <c r="O33" s="186"/>
      <c r="P33" s="187">
        <f>L28-L33</f>
        <v>4720</v>
      </c>
      <c r="Q33" s="188"/>
      <c r="R33" s="188"/>
      <c r="S33" s="188"/>
      <c r="T33" s="188"/>
      <c r="U33" s="189" t="s">
        <v>1784</v>
      </c>
      <c r="V33" s="190"/>
      <c r="W33" s="190"/>
      <c r="X33" s="190"/>
      <c r="Y33" s="190"/>
      <c r="Z33" s="191"/>
      <c r="AA33" s="179"/>
      <c r="AB33" s="179"/>
      <c r="AC33" s="179"/>
      <c r="AD33" s="179"/>
      <c r="AE33" s="179"/>
      <c r="AF33" s="179"/>
      <c r="AG33" s="192"/>
      <c r="AH33" s="179"/>
      <c r="AI33" s="179"/>
      <c r="AJ33" s="179"/>
      <c r="AX33" s="193">
        <f>AX11+AX22</f>
        <v>214883</v>
      </c>
      <c r="AY33" s="194"/>
      <c r="AZ33" s="194"/>
      <c r="BA33" s="195"/>
    </row>
    <row r="34" spans="2:53" ht="30" customHeight="1" x14ac:dyDescent="0.25">
      <c r="B34" s="3">
        <v>3</v>
      </c>
      <c r="C34" s="180" t="s">
        <v>9</v>
      </c>
      <c r="D34" s="180"/>
      <c r="E34" s="180"/>
      <c r="F34" s="180"/>
      <c r="G34" s="180"/>
      <c r="H34" s="181">
        <f>H12+H23</f>
        <v>0</v>
      </c>
      <c r="I34" s="182"/>
      <c r="J34" s="182"/>
      <c r="K34" s="183"/>
      <c r="L34" s="202">
        <f>AX34+H34</f>
        <v>226263</v>
      </c>
      <c r="M34" s="203"/>
      <c r="N34" s="203"/>
      <c r="O34" s="204"/>
      <c r="P34" s="187">
        <f>226263-L34</f>
        <v>0</v>
      </c>
      <c r="Q34" s="188"/>
      <c r="R34" s="188"/>
      <c r="S34" s="188"/>
      <c r="T34" s="188"/>
      <c r="U34" s="189" t="s">
        <v>1785</v>
      </c>
      <c r="V34" s="190"/>
      <c r="W34" s="190"/>
      <c r="X34" s="190"/>
      <c r="Y34" s="190"/>
      <c r="Z34" s="191"/>
      <c r="AX34" s="193">
        <f>AX12+AX23</f>
        <v>226263</v>
      </c>
      <c r="AY34" s="194"/>
      <c r="AZ34" s="194"/>
      <c r="BA34" s="195"/>
    </row>
    <row r="36" spans="2:53" ht="16.5" customHeight="1" x14ac:dyDescent="0.25">
      <c r="B36" s="196" t="s">
        <v>1788</v>
      </c>
      <c r="C36" s="197"/>
      <c r="D36" s="197"/>
      <c r="E36" s="197"/>
      <c r="F36" s="197"/>
      <c r="G36" s="198"/>
      <c r="H36" s="199">
        <f>L34-L30</f>
        <v>16340</v>
      </c>
      <c r="I36" s="200"/>
      <c r="J36" s="200"/>
      <c r="K36" s="200"/>
      <c r="L36" s="200" t="s">
        <v>1787</v>
      </c>
      <c r="M36" s="200"/>
      <c r="N36" s="200"/>
      <c r="O36" s="201"/>
    </row>
  </sheetData>
  <mergeCells count="179">
    <mergeCell ref="B36:G36"/>
    <mergeCell ref="H36:K36"/>
    <mergeCell ref="L36:O36"/>
    <mergeCell ref="C34:G34"/>
    <mergeCell ref="H34:K34"/>
    <mergeCell ref="L34:O34"/>
    <mergeCell ref="P34:T34"/>
    <mergeCell ref="U34:Z34"/>
    <mergeCell ref="AX34:BA34"/>
    <mergeCell ref="AX32:BA32"/>
    <mergeCell ref="C33:G33"/>
    <mergeCell ref="H33:K33"/>
    <mergeCell ref="L33:O33"/>
    <mergeCell ref="P33:T33"/>
    <mergeCell ref="U33:Z33"/>
    <mergeCell ref="AA33:AF33"/>
    <mergeCell ref="AG33:AJ33"/>
    <mergeCell ref="AX33:BA33"/>
    <mergeCell ref="AA31:AF31"/>
    <mergeCell ref="AG31:AJ31"/>
    <mergeCell ref="C32:G32"/>
    <mergeCell ref="H32:K32"/>
    <mergeCell ref="L32:O32"/>
    <mergeCell ref="P32:T32"/>
    <mergeCell ref="U32:Z32"/>
    <mergeCell ref="AA32:AF32"/>
    <mergeCell ref="AG32:AJ32"/>
    <mergeCell ref="AG29:AJ29"/>
    <mergeCell ref="AX29:BA29"/>
    <mergeCell ref="C30:G30"/>
    <mergeCell ref="H30:K30"/>
    <mergeCell ref="L30:O30"/>
    <mergeCell ref="P30:T30"/>
    <mergeCell ref="U30:Z30"/>
    <mergeCell ref="AA30:AF30"/>
    <mergeCell ref="AG30:AJ30"/>
    <mergeCell ref="AX30:BA30"/>
    <mergeCell ref="C29:G29"/>
    <mergeCell ref="H29:K29"/>
    <mergeCell ref="L29:O29"/>
    <mergeCell ref="P29:T29"/>
    <mergeCell ref="U29:Z29"/>
    <mergeCell ref="AA29:AF29"/>
    <mergeCell ref="AX26:BA26"/>
    <mergeCell ref="C28:G28"/>
    <mergeCell ref="H28:K28"/>
    <mergeCell ref="L28:O28"/>
    <mergeCell ref="P28:T28"/>
    <mergeCell ref="U28:Z28"/>
    <mergeCell ref="AA28:AF28"/>
    <mergeCell ref="AG28:AJ28"/>
    <mergeCell ref="AX28:BA28"/>
    <mergeCell ref="B25:Z25"/>
    <mergeCell ref="C26:G26"/>
    <mergeCell ref="H26:K26"/>
    <mergeCell ref="L26:O26"/>
    <mergeCell ref="P26:T26"/>
    <mergeCell ref="U26:Z26"/>
    <mergeCell ref="AG22:AJ22"/>
    <mergeCell ref="AX22:BA22"/>
    <mergeCell ref="C23:G23"/>
    <mergeCell ref="H23:K23"/>
    <mergeCell ref="L23:O23"/>
    <mergeCell ref="P23:S23"/>
    <mergeCell ref="T23:V23"/>
    <mergeCell ref="W23:Z23"/>
    <mergeCell ref="AX23:BA23"/>
    <mergeCell ref="AG21:AJ21"/>
    <mergeCell ref="AX21:BA21"/>
    <mergeCell ref="BB21:BC21"/>
    <mergeCell ref="C22:G22"/>
    <mergeCell ref="H22:K22"/>
    <mergeCell ref="L22:O22"/>
    <mergeCell ref="P22:S22"/>
    <mergeCell ref="T22:V22"/>
    <mergeCell ref="W22:Z22"/>
    <mergeCell ref="AA22:AF22"/>
    <mergeCell ref="AX19:BA19"/>
    <mergeCell ref="AA20:AF20"/>
    <mergeCell ref="AG20:AJ20"/>
    <mergeCell ref="C21:G21"/>
    <mergeCell ref="H21:K21"/>
    <mergeCell ref="L21:O21"/>
    <mergeCell ref="P21:S21"/>
    <mergeCell ref="T21:V21"/>
    <mergeCell ref="W21:Z21"/>
    <mergeCell ref="AA21:AF21"/>
    <mergeCell ref="AG18:AJ18"/>
    <mergeCell ref="AX18:BA18"/>
    <mergeCell ref="C19:G19"/>
    <mergeCell ref="H19:K19"/>
    <mergeCell ref="L19:O19"/>
    <mergeCell ref="P19:S19"/>
    <mergeCell ref="T19:V19"/>
    <mergeCell ref="W19:Z19"/>
    <mergeCell ref="AA19:AF19"/>
    <mergeCell ref="AG19:AJ19"/>
    <mergeCell ref="AA17:AF17"/>
    <mergeCell ref="AG17:AJ17"/>
    <mergeCell ref="AX17:BA17"/>
    <mergeCell ref="C18:G18"/>
    <mergeCell ref="H18:K18"/>
    <mergeCell ref="L18:O18"/>
    <mergeCell ref="P18:S18"/>
    <mergeCell ref="T18:V18"/>
    <mergeCell ref="W18:Z18"/>
    <mergeCell ref="AA18:AF18"/>
    <mergeCell ref="C17:G17"/>
    <mergeCell ref="H17:K17"/>
    <mergeCell ref="L17:O17"/>
    <mergeCell ref="P17:S17"/>
    <mergeCell ref="T17:V17"/>
    <mergeCell ref="W17:Z17"/>
    <mergeCell ref="AX12:BA12"/>
    <mergeCell ref="B14:Z14"/>
    <mergeCell ref="C15:G15"/>
    <mergeCell ref="H15:K15"/>
    <mergeCell ref="L15:O15"/>
    <mergeCell ref="P15:S15"/>
    <mergeCell ref="T15:V15"/>
    <mergeCell ref="W15:Z15"/>
    <mergeCell ref="AX15:BA15"/>
    <mergeCell ref="C12:G12"/>
    <mergeCell ref="H12:K12"/>
    <mergeCell ref="L12:O12"/>
    <mergeCell ref="P12:S12"/>
    <mergeCell ref="T12:V12"/>
    <mergeCell ref="W12:Z12"/>
    <mergeCell ref="W10:Z10"/>
    <mergeCell ref="AX10:BA10"/>
    <mergeCell ref="C11:G11"/>
    <mergeCell ref="H11:K11"/>
    <mergeCell ref="L11:O11"/>
    <mergeCell ref="P11:S11"/>
    <mergeCell ref="T11:V11"/>
    <mergeCell ref="W11:Z11"/>
    <mergeCell ref="AX11:BA11"/>
    <mergeCell ref="C9:G9"/>
    <mergeCell ref="C10:G10"/>
    <mergeCell ref="H10:K10"/>
    <mergeCell ref="L10:O10"/>
    <mergeCell ref="P10:S10"/>
    <mergeCell ref="T10:V10"/>
    <mergeCell ref="AX7:BA7"/>
    <mergeCell ref="C8:G8"/>
    <mergeCell ref="H8:K8"/>
    <mergeCell ref="L8:O8"/>
    <mergeCell ref="P8:S8"/>
    <mergeCell ref="T8:V8"/>
    <mergeCell ref="W8:Z8"/>
    <mergeCell ref="AX8:BA8"/>
    <mergeCell ref="C7:G7"/>
    <mergeCell ref="H7:K7"/>
    <mergeCell ref="L7:O7"/>
    <mergeCell ref="P7:S7"/>
    <mergeCell ref="T7:V7"/>
    <mergeCell ref="W7:Z7"/>
    <mergeCell ref="AX4:BA4"/>
    <mergeCell ref="C5:G5"/>
    <mergeCell ref="AX5:BA5"/>
    <mergeCell ref="C6:G6"/>
    <mergeCell ref="H6:K6"/>
    <mergeCell ref="L6:O6"/>
    <mergeCell ref="P6:S6"/>
    <mergeCell ref="T6:V6"/>
    <mergeCell ref="W6:Z6"/>
    <mergeCell ref="AX6:BA6"/>
    <mergeCell ref="C4:G4"/>
    <mergeCell ref="H4:K4"/>
    <mergeCell ref="L4:O4"/>
    <mergeCell ref="P4:S4"/>
    <mergeCell ref="T4:V4"/>
    <mergeCell ref="W4:Z4"/>
    <mergeCell ref="B1:Z1"/>
    <mergeCell ref="B2:Z2"/>
    <mergeCell ref="AF2:AG2"/>
    <mergeCell ref="AH2:AK2"/>
    <mergeCell ref="AL2:AM2"/>
    <mergeCell ref="B3:Z3"/>
  </mergeCells>
  <pageMargins left="1.1811023622047245" right="1.1811023622047245" top="0.74803149606299213" bottom="0.74803149606299213" header="0.31496062992125984" footer="0.31496062992125984"/>
  <pageSetup paperSize="8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النطاقات المسماة</vt:lpstr>
      </vt:variant>
      <vt:variant>
        <vt:i4>3</vt:i4>
      </vt:variant>
    </vt:vector>
  </HeadingPairs>
  <TitlesOfParts>
    <vt:vector size="6" baseType="lpstr">
      <vt:lpstr>الاعمال المنجزة المعدل</vt:lpstr>
      <vt:lpstr>القطاعات</vt:lpstr>
      <vt:lpstr>الاعمال المنجزة 23 06 2026</vt:lpstr>
      <vt:lpstr>'الاعمال المنجزة 23 06 2026'!Print_Area</vt:lpstr>
      <vt:lpstr>'الاعمال المنجزة المعدل'!Print_Area</vt:lpstr>
      <vt:lpstr>القطاعات!Print_Area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2026-06-24T16:05:05Z</cp:lastPrinted>
  <dcterms:created xsi:type="dcterms:W3CDTF">2025-06-14T12:20:43Z</dcterms:created>
  <dcterms:modified xsi:type="dcterms:W3CDTF">2026-06-24T16:07:07Z</dcterms:modified>
</cp:coreProperties>
</file>